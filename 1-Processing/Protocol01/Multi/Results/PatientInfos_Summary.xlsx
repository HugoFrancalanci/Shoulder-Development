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\Desktop\Programming\01_Projects\E02_Classification_rTSA\Shoulder_Dev\1-Processing\Protocol01\Multi\Results\"/>
    </mc:Choice>
  </mc:AlternateContent>
  <xr:revisionPtr revIDLastSave="0" documentId="13_ncr:1_{F760194C-6010-4ED5-854C-4DD0F9C8AF41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PatientInf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" i="1" l="1"/>
  <c r="H6" i="1"/>
  <c r="R4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Hugo Francalanci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</commentList>
</comments>
</file>

<file path=xl/sharedStrings.xml><?xml version="1.0" encoding="utf-8"?>
<sst xmlns="http://schemas.openxmlformats.org/spreadsheetml/2006/main" count="25" uniqueCount="18">
  <si>
    <t>Patient</t>
  </si>
  <si>
    <t>Numéro</t>
  </si>
  <si>
    <t>ID</t>
  </si>
  <si>
    <t>MB</t>
  </si>
  <si>
    <t>MH</t>
  </si>
  <si>
    <t>Age_PRE</t>
  </si>
  <si>
    <t>Genre</t>
  </si>
  <si>
    <t>Taille_PRE</t>
  </si>
  <si>
    <t>Masse_PRE</t>
  </si>
  <si>
    <t>IMC_PRE</t>
  </si>
  <si>
    <t>EVA_PRE</t>
  </si>
  <si>
    <t>ASA</t>
  </si>
  <si>
    <t>Latéralité</t>
  </si>
  <si>
    <t>Age_POST</t>
  </si>
  <si>
    <t>Taille_POST</t>
  </si>
  <si>
    <t>Masse_POST</t>
  </si>
  <si>
    <t>IMC_POST</t>
  </si>
  <si>
    <t>EVA_POST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</si>
</sst>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E67E2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"/>
  <sheetViews>
    <sheetView tabSelected="1" workbookViewId="0"/>
  </sheetViews>
  <sheetFormatPr defaultRowHeight="14.25" x14ac:dyDescent="0.45"/>
  <cols>
    <col min="1" max="1" width="7.73046875" customWidth="1"/>
    <col min="2" max="2" width="4.06640625" customWidth="1"/>
    <col min="3" max="3" width="8.265625" customWidth="1"/>
    <col min="4" max="4" width="6.06640625" customWidth="1"/>
    <col min="5" max="5" width="9.46484375" customWidth="1"/>
    <col min="6" max="6" width="10.265625" customWidth="1"/>
    <col min="7" max="7" width="8.3984375" customWidth="1"/>
    <col min="8" max="8" width="14.9296875" customWidth="1"/>
    <col min="9" max="9" width="4.46484375" customWidth="1"/>
    <col min="10" max="10" width="8.796875" customWidth="1"/>
    <col min="11" max="11" width="7.73046875" customWidth="1"/>
    <col min="12" max="12" width="4.06640625" customWidth="1"/>
    <col min="13" max="13" width="9.33203125" customWidth="1"/>
    <col min="14" max="14" width="6.06640625" customWidth="1"/>
    <col min="15" max="15" width="10.53125" customWidth="1"/>
    <col min="16" max="16" width="11.33203125" customWidth="1"/>
    <col min="17" max="17" width="9.46484375" customWidth="1"/>
    <col min="18" max="18" width="12" customWidth="1"/>
    <col min="19" max="19" width="4.46484375" customWidth="1"/>
    <col min="20" max="20" width="8.796875" customWidth="1"/>
  </cols>
  <sheetData>
    <row r="1" spans="1:20" x14ac:dyDescent="0.4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0" x14ac:dyDescent="0.45">
      <c r="A2" t="s">
        <v>1</v>
      </c>
      <c r="B2" t="s">
        <v>2</v>
      </c>
      <c r="C2" t="s">
        <v>5</v>
      </c>
      <c r="D2" t="s">
        <v>6</v>
      </c>
      <c r="E2" t="s">
        <v>7</v>
      </c>
      <c r="F2" t="s">
        <v>8</v>
      </c>
      <c r="G2" t="s">
        <v>9</v>
      </c>
      <c r="H2" t="s">
        <v>10</v>
      </c>
      <c r="I2" t="s">
        <v>11</v>
      </c>
      <c r="J2" t="s">
        <v>12</v>
      </c>
      <c r="K2" t="s">
        <v>1</v>
      </c>
      <c r="L2" t="s">
        <v>2</v>
      </c>
      <c r="M2" t="s">
        <v>13</v>
      </c>
      <c r="N2" t="s">
        <v>6</v>
      </c>
      <c r="O2" t="s">
        <v>14</v>
      </c>
      <c r="P2" t="s">
        <v>15</v>
      </c>
      <c r="Q2" t="s">
        <v>16</v>
      </c>
      <c r="R2" t="s">
        <v>17</v>
      </c>
      <c r="S2" t="s">
        <v>11</v>
      </c>
      <c r="T2" t="s">
        <v>12</v>
      </c>
    </row>
    <row r="4" spans="1:20" x14ac:dyDescent="0.45">
      <c r="A4">
        <v>1</v>
      </c>
      <c r="B4" t="s">
        <v>3</v>
      </c>
      <c r="C4">
        <v>77.150000000000006</v>
      </c>
      <c r="D4">
        <v>1</v>
      </c>
      <c r="E4">
        <v>152</v>
      </c>
      <c r="F4">
        <v>53</v>
      </c>
      <c r="G4">
        <v>22.94</v>
      </c>
      <c r="H4" s="1">
        <f>(1+1.5+1.5+2)/4</f>
        <v>1.5</v>
      </c>
      <c r="J4">
        <v>1</v>
      </c>
      <c r="K4">
        <v>1</v>
      </c>
      <c r="L4" t="s">
        <v>3</v>
      </c>
      <c r="M4">
        <v>77.930000000000007</v>
      </c>
      <c r="N4">
        <v>1</v>
      </c>
      <c r="O4">
        <v>152</v>
      </c>
      <c r="P4">
        <v>53</v>
      </c>
      <c r="Q4">
        <v>22.94</v>
      </c>
      <c r="R4">
        <f>(0+0+1+1)/4</f>
        <v>0.5</v>
      </c>
      <c r="T4">
        <v>1</v>
      </c>
    </row>
    <row r="6" spans="1:20" x14ac:dyDescent="0.45">
      <c r="A6">
        <v>2</v>
      </c>
      <c r="B6" t="s">
        <v>4</v>
      </c>
      <c r="C6">
        <v>62.3</v>
      </c>
      <c r="D6">
        <v>1</v>
      </c>
      <c r="E6">
        <v>156</v>
      </c>
      <c r="F6">
        <v>42</v>
      </c>
      <c r="G6">
        <v>17.260000000000002</v>
      </c>
      <c r="H6">
        <f>(7+9.5+4+5)/4</f>
        <v>6.375</v>
      </c>
      <c r="J6">
        <v>0</v>
      </c>
      <c r="K6">
        <v>2</v>
      </c>
      <c r="L6" t="s">
        <v>4</v>
      </c>
      <c r="M6">
        <v>65.56</v>
      </c>
      <c r="N6">
        <v>1</v>
      </c>
      <c r="O6">
        <v>156</v>
      </c>
      <c r="P6">
        <v>42</v>
      </c>
      <c r="Q6">
        <v>17.260000000000002</v>
      </c>
      <c r="R6">
        <f>(0+0+0+0)/4</f>
        <v>0</v>
      </c>
      <c r="T6">
        <v>0</v>
      </c>
    </row>
  </sheetData>
  <mergeCells count="1">
    <mergeCell ref="A1:T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PatientInfos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Hugo Francalanci</cp:lastModifiedBy>
  <dcterms:modified xsi:type="dcterms:W3CDTF">2026-07-15T08:20:10Z</dcterms:modified>
</cp:coreProperties>
</file>