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Programming\01_Projects\E02_Classification_rTSA\Shoulder_Dev\1-Processing\Protocol01\Multi\Results\"/>
    </mc:Choice>
  </mc:AlternateContent>
  <xr:revisionPtr revIDLastSave="0" documentId="13_ncr:1_{FCDA5E3E-D112-4775-BC7B-EA097BB3006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PatientInf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66" i="1" l="1"/>
  <c r="I366" i="1"/>
  <c r="V364" i="1"/>
  <c r="I364" i="1"/>
  <c r="V362" i="1"/>
  <c r="I362" i="1"/>
  <c r="V360" i="1"/>
  <c r="I360" i="1"/>
  <c r="V358" i="1"/>
  <c r="I358" i="1"/>
  <c r="V356" i="1"/>
  <c r="I356" i="1"/>
  <c r="V354" i="1"/>
  <c r="I354" i="1"/>
  <c r="V352" i="1"/>
  <c r="I352" i="1"/>
  <c r="V350" i="1"/>
  <c r="I350" i="1"/>
  <c r="V348" i="1"/>
  <c r="I348" i="1"/>
  <c r="V346" i="1"/>
  <c r="I346" i="1"/>
  <c r="V344" i="1"/>
  <c r="I344" i="1"/>
  <c r="I332" i="1"/>
  <c r="I322" i="1"/>
  <c r="V320" i="1"/>
  <c r="I320" i="1"/>
  <c r="V318" i="1"/>
  <c r="I318" i="1"/>
  <c r="I316" i="1"/>
  <c r="V314" i="1"/>
  <c r="I314" i="1"/>
  <c r="V312" i="1"/>
  <c r="I312" i="1"/>
  <c r="V310" i="1"/>
  <c r="I310" i="1"/>
  <c r="V308" i="1"/>
  <c r="I308" i="1"/>
  <c r="I306" i="1"/>
  <c r="V304" i="1"/>
  <c r="I304" i="1"/>
  <c r="V302" i="1"/>
  <c r="I302" i="1"/>
  <c r="V300" i="1"/>
  <c r="I300" i="1"/>
  <c r="V298" i="1"/>
  <c r="I298" i="1"/>
  <c r="V296" i="1"/>
  <c r="I296" i="1"/>
  <c r="V294" i="1"/>
  <c r="I294" i="1"/>
  <c r="I292" i="1"/>
  <c r="I290" i="1"/>
  <c r="V288" i="1"/>
  <c r="I288" i="1"/>
  <c r="V286" i="1"/>
  <c r="I286" i="1"/>
  <c r="V284" i="1"/>
  <c r="I284" i="1"/>
  <c r="V282" i="1"/>
  <c r="I282" i="1"/>
  <c r="V280" i="1"/>
  <c r="I280" i="1"/>
  <c r="V278" i="1"/>
  <c r="I278" i="1"/>
  <c r="V276" i="1"/>
  <c r="I276" i="1"/>
  <c r="V274" i="1"/>
  <c r="I274" i="1"/>
  <c r="V272" i="1"/>
  <c r="I272" i="1"/>
  <c r="V270" i="1"/>
  <c r="I270" i="1"/>
  <c r="V268" i="1"/>
  <c r="I268" i="1"/>
  <c r="V266" i="1"/>
  <c r="I266" i="1"/>
  <c r="V264" i="1"/>
  <c r="I264" i="1"/>
  <c r="V262" i="1"/>
  <c r="I262" i="1"/>
  <c r="V260" i="1"/>
  <c r="I260" i="1"/>
  <c r="V258" i="1"/>
  <c r="I258" i="1"/>
  <c r="V256" i="1"/>
  <c r="I256" i="1"/>
  <c r="V254" i="1"/>
  <c r="I254" i="1"/>
  <c r="V252" i="1"/>
  <c r="I252" i="1"/>
  <c r="V250" i="1"/>
  <c r="I250" i="1"/>
  <c r="V248" i="1"/>
  <c r="I248" i="1"/>
  <c r="V246" i="1"/>
  <c r="I246" i="1"/>
  <c r="V244" i="1"/>
  <c r="I244" i="1"/>
  <c r="V242" i="1"/>
  <c r="I242" i="1"/>
  <c r="V240" i="1"/>
  <c r="I240" i="1"/>
  <c r="V238" i="1"/>
  <c r="I238" i="1"/>
  <c r="V236" i="1"/>
  <c r="I236" i="1"/>
  <c r="V234" i="1"/>
  <c r="I234" i="1"/>
  <c r="V232" i="1"/>
  <c r="I232" i="1"/>
  <c r="V230" i="1"/>
  <c r="I230" i="1"/>
  <c r="V228" i="1"/>
  <c r="I228" i="1"/>
  <c r="V226" i="1"/>
  <c r="I226" i="1"/>
  <c r="V224" i="1"/>
  <c r="I224" i="1"/>
  <c r="V222" i="1"/>
  <c r="I222" i="1"/>
  <c r="V220" i="1"/>
  <c r="I220" i="1"/>
  <c r="V218" i="1"/>
  <c r="I218" i="1"/>
  <c r="V216" i="1"/>
  <c r="I216" i="1"/>
  <c r="V214" i="1"/>
  <c r="I214" i="1"/>
  <c r="V212" i="1"/>
  <c r="I212" i="1"/>
  <c r="V210" i="1"/>
  <c r="I210" i="1"/>
  <c r="V208" i="1"/>
  <c r="I208" i="1"/>
  <c r="V206" i="1"/>
  <c r="I206" i="1"/>
  <c r="V204" i="1"/>
  <c r="I204" i="1"/>
  <c r="V202" i="1"/>
  <c r="I202" i="1"/>
  <c r="V200" i="1"/>
  <c r="I200" i="1"/>
  <c r="V198" i="1"/>
  <c r="I198" i="1"/>
  <c r="V196" i="1"/>
  <c r="I196" i="1"/>
  <c r="V194" i="1"/>
  <c r="I194" i="1"/>
  <c r="V192" i="1"/>
  <c r="I192" i="1"/>
  <c r="V190" i="1"/>
  <c r="I190" i="1"/>
  <c r="V188" i="1"/>
  <c r="I188" i="1"/>
  <c r="V186" i="1"/>
  <c r="I186" i="1"/>
  <c r="V184" i="1"/>
  <c r="I184" i="1"/>
  <c r="V182" i="1"/>
  <c r="I182" i="1"/>
  <c r="V180" i="1"/>
  <c r="I180" i="1"/>
  <c r="V178" i="1"/>
  <c r="I178" i="1"/>
  <c r="V176" i="1"/>
  <c r="I176" i="1"/>
  <c r="V174" i="1"/>
  <c r="I174" i="1"/>
  <c r="V172" i="1"/>
  <c r="I172" i="1"/>
  <c r="V170" i="1"/>
  <c r="I170" i="1"/>
  <c r="V168" i="1"/>
  <c r="I168" i="1"/>
  <c r="V166" i="1"/>
  <c r="I166" i="1"/>
  <c r="V164" i="1"/>
  <c r="I164" i="1"/>
  <c r="V162" i="1"/>
  <c r="I162" i="1"/>
  <c r="V160" i="1"/>
  <c r="I160" i="1"/>
  <c r="V158" i="1"/>
  <c r="I158" i="1"/>
  <c r="V156" i="1"/>
  <c r="I156" i="1"/>
  <c r="V154" i="1"/>
  <c r="I154" i="1"/>
  <c r="V152" i="1"/>
  <c r="I152" i="1"/>
  <c r="V150" i="1"/>
  <c r="I150" i="1"/>
  <c r="V148" i="1"/>
  <c r="I148" i="1"/>
  <c r="V146" i="1"/>
  <c r="I146" i="1"/>
  <c r="V144" i="1"/>
  <c r="I144" i="1"/>
  <c r="V142" i="1"/>
  <c r="I142" i="1"/>
  <c r="V140" i="1"/>
  <c r="I140" i="1"/>
  <c r="V138" i="1"/>
  <c r="I138" i="1"/>
  <c r="V136" i="1"/>
  <c r="I136" i="1"/>
  <c r="V134" i="1"/>
  <c r="I134" i="1"/>
  <c r="V132" i="1"/>
  <c r="I132" i="1"/>
  <c r="V130" i="1"/>
  <c r="I130" i="1"/>
  <c r="V128" i="1"/>
  <c r="I128" i="1"/>
  <c r="V126" i="1"/>
  <c r="I126" i="1"/>
  <c r="V124" i="1"/>
  <c r="I124" i="1"/>
  <c r="V122" i="1"/>
  <c r="I122" i="1"/>
  <c r="V120" i="1"/>
  <c r="I120" i="1"/>
  <c r="V118" i="1"/>
  <c r="I118" i="1"/>
  <c r="V116" i="1"/>
  <c r="I116" i="1"/>
  <c r="V114" i="1"/>
  <c r="I114" i="1"/>
  <c r="V112" i="1"/>
  <c r="I112" i="1"/>
  <c r="V110" i="1"/>
  <c r="I110" i="1"/>
  <c r="V108" i="1"/>
  <c r="I108" i="1"/>
  <c r="V106" i="1"/>
  <c r="I106" i="1"/>
  <c r="V104" i="1"/>
  <c r="I104" i="1"/>
  <c r="V102" i="1"/>
  <c r="I102" i="1"/>
  <c r="V100" i="1"/>
  <c r="I100" i="1"/>
  <c r="V98" i="1"/>
  <c r="I98" i="1"/>
  <c r="V96" i="1"/>
  <c r="I96" i="1"/>
  <c r="V94" i="1"/>
  <c r="I94" i="1"/>
  <c r="V92" i="1"/>
  <c r="I92" i="1"/>
  <c r="V90" i="1"/>
  <c r="I90" i="1"/>
  <c r="V88" i="1"/>
  <c r="I88" i="1"/>
  <c r="V86" i="1"/>
  <c r="I86" i="1"/>
  <c r="V84" i="1"/>
  <c r="I84" i="1"/>
  <c r="V82" i="1"/>
  <c r="I82" i="1"/>
  <c r="V80" i="1"/>
  <c r="I80" i="1"/>
  <c r="V78" i="1"/>
  <c r="I78" i="1"/>
  <c r="V76" i="1"/>
  <c r="I76" i="1"/>
  <c r="V74" i="1"/>
  <c r="I74" i="1"/>
  <c r="V72" i="1"/>
  <c r="I72" i="1"/>
  <c r="V70" i="1"/>
  <c r="I70" i="1"/>
  <c r="V68" i="1"/>
  <c r="I68" i="1"/>
  <c r="V66" i="1"/>
  <c r="I66" i="1"/>
  <c r="V64" i="1"/>
  <c r="I64" i="1"/>
  <c r="V62" i="1"/>
  <c r="I62" i="1"/>
  <c r="V60" i="1"/>
  <c r="I60" i="1"/>
  <c r="V58" i="1"/>
  <c r="I58" i="1"/>
  <c r="V56" i="1"/>
  <c r="I56" i="1"/>
  <c r="V54" i="1"/>
  <c r="I54" i="1"/>
  <c r="V52" i="1"/>
  <c r="I52" i="1"/>
  <c r="V50" i="1"/>
  <c r="I50" i="1"/>
  <c r="V48" i="1"/>
  <c r="I48" i="1"/>
  <c r="V46" i="1"/>
  <c r="I46" i="1"/>
  <c r="V44" i="1"/>
  <c r="I44" i="1"/>
  <c r="V42" i="1"/>
  <c r="I42" i="1"/>
  <c r="V40" i="1"/>
  <c r="I40" i="1"/>
  <c r="V38" i="1"/>
  <c r="I38" i="1"/>
  <c r="V36" i="1"/>
  <c r="I36" i="1"/>
  <c r="V34" i="1"/>
  <c r="I34" i="1"/>
  <c r="V32" i="1"/>
  <c r="I32" i="1"/>
  <c r="V30" i="1"/>
  <c r="I30" i="1"/>
  <c r="V28" i="1"/>
  <c r="I28" i="1"/>
  <c r="V26" i="1"/>
  <c r="I26" i="1"/>
  <c r="V24" i="1"/>
  <c r="I24" i="1"/>
  <c r="V22" i="1"/>
  <c r="I22" i="1"/>
  <c r="V20" i="1"/>
  <c r="I20" i="1"/>
  <c r="V18" i="1"/>
  <c r="I18" i="1"/>
  <c r="V16" i="1"/>
  <c r="I16" i="1"/>
  <c r="V14" i="1"/>
  <c r="I14" i="1"/>
  <c r="V12" i="1"/>
  <c r="I12" i="1"/>
  <c r="V10" i="1"/>
  <c r="I10" i="1"/>
  <c r="V8" i="1"/>
  <c r="I8" i="1"/>
  <c r="V6" i="1"/>
  <c r="I6" i="1"/>
  <c r="V4" i="1"/>
  <c r="I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Hugo Francalanci</author>
  </authors>
  <commentList>
    <comment ref="I4" authorId="0" shapeId="0" xr:uid="{E4DEA6CB-5796-466E-8D0D-1AFCAE9CF411}">
      <text>
        <r>
          <rPr>
            <b/>
            <sz val="9"/>
            <color indexed="81"/>
            <rFont val="Tahoma"/>
            <charset val="1"/>
          </rPr>
          <t>Côté non-atteint (données du côté atteint indisponibles pour ce patient) - à ne pas confondre avec une mesure du côté atteint.</t>
        </r>
      </text>
    </comment>
    <comment ref="I6" authorId="0" shapeId="0" xr:uid="{738F1B66-B468-45E3-A2AC-8BAF9DCD2A80}">
      <text>
        <r>
          <rPr>
            <b/>
            <sz val="9"/>
            <color indexed="81"/>
            <rFont val="Tahoma"/>
            <charset val="1"/>
          </rPr>
          <t>Côté non-atteint (données du côté atteint indisponibles pour ce patient) - à ne pas confondre avec une mesure du côté atteint.</t>
        </r>
      </text>
    </comment>
    <comment ref="I20" authorId="0" shapeId="0" xr:uid="{05F86FE7-2B07-4B9E-8CF3-646ED004C4FF}">
      <text>
        <r>
          <rPr>
            <b/>
            <sz val="9"/>
            <color indexed="81"/>
            <rFont val="Tahoma"/>
            <charset val="1"/>
          </rPr>
          <t>Côté non-atteint (données du côté atteint indisponibles pour ce patient) - à ne pas confondre avec une mesure du côté atteint.</t>
        </r>
      </text>
    </comment>
    <comment ref="I30" authorId="0" shapeId="0" xr:uid="{877D58E4-291D-40B3-8C3A-1CA469A9582C}">
      <text>
        <r>
          <rPr>
            <b/>
            <sz val="9"/>
            <color indexed="81"/>
            <rFont val="Tahoma"/>
            <charset val="1"/>
          </rPr>
          <t>Côté non-atteint (données du côté atteint indisponibles pour ce patient) - à ne pas confondre avec une mesure du côté atteint.</t>
        </r>
      </text>
    </comment>
    <comment ref="I34" authorId="0" shapeId="0" xr:uid="{77F465AA-C742-4E42-AAE6-A7CA92E321CB}">
      <text>
        <r>
          <rPr>
            <b/>
            <sz val="9"/>
            <color indexed="81"/>
            <rFont val="Tahoma"/>
            <charset val="1"/>
          </rPr>
          <t>Côté non-atteint (données du côté atteint indisponibles pour ce patient) - à ne pas confondre avec une mesure du côté atteint.</t>
        </r>
      </text>
    </comment>
    <comment ref="I44" authorId="0" shapeId="0" xr:uid="{7ECF5597-EE59-491E-A13F-1F7763355CCC}">
      <text>
        <r>
          <rPr>
            <b/>
            <sz val="9"/>
            <color indexed="81"/>
            <rFont val="Tahoma"/>
            <charset val="1"/>
          </rPr>
          <t>Côté non-atteint (données du côté atteint indisponibles pour ce patient) - à ne pas confondre avec une mesure du côté atteint.</t>
        </r>
      </text>
    </comment>
    <comment ref="I48" authorId="0" shapeId="0" xr:uid="{C32D1B42-DB39-4F33-873D-CC30EC3995CC}">
      <text>
        <r>
          <rPr>
            <b/>
            <sz val="9"/>
            <color indexed="81"/>
            <rFont val="Tahoma"/>
            <charset val="1"/>
          </rPr>
          <t>Côté non-atteint (données du côté atteint indisponibles pour ce patient) - à ne pas confondre avec une mesure du côté atteint.</t>
        </r>
      </text>
    </comment>
    <comment ref="I50" authorId="0" shapeId="0" xr:uid="{143225E3-1EC6-4857-9350-A9EF12840338}">
      <text>
        <r>
          <rPr>
            <b/>
            <sz val="9"/>
            <color indexed="81"/>
            <rFont val="Tahoma"/>
            <charset val="1"/>
          </rPr>
          <t>Côté non-atteint (données du côté atteint indisponibles pour ce patient) - à ne pas confondre avec une mesure du côté atteint.</t>
        </r>
      </text>
    </comment>
    <comment ref="I52" authorId="0" shapeId="0" xr:uid="{F7B038E9-1EDF-462B-A7E5-514893A66160}">
      <text>
        <r>
          <rPr>
            <b/>
            <sz val="9"/>
            <color indexed="81"/>
            <rFont val="Tahoma"/>
            <charset val="1"/>
          </rPr>
          <t>Côté non-atteint (données du côté atteint indisponibles pour ce patient) - à ne pas confondre avec une mesure du côté atteint.</t>
        </r>
      </text>
    </comment>
    <comment ref="I66" authorId="0" shapeId="0" xr:uid="{560741DB-47D8-4411-8F1C-54C32CCA4DA6}">
      <text>
        <r>
          <rPr>
            <b/>
            <sz val="9"/>
            <color indexed="81"/>
            <rFont val="Tahoma"/>
            <charset val="1"/>
          </rPr>
          <t>Côté non-atteint (données du côté atteint indisponibles pour ce patient) - à ne pas confondre avec une mesure du côté atteint.</t>
        </r>
      </text>
    </comment>
    <comment ref="I72" authorId="0" shapeId="0" xr:uid="{D5B72729-8C62-4FEC-B260-402C9A7936FD}">
      <text>
        <r>
          <rPr>
            <b/>
            <sz val="9"/>
            <color indexed="81"/>
            <rFont val="Tahoma"/>
            <charset val="1"/>
          </rPr>
          <t>Côté non-atteint (données du côté atteint indisponibles pour ce patient) - à ne pas confondre avec une mesure du côté atteint.</t>
        </r>
      </text>
    </comment>
    <comment ref="I74" authorId="0" shapeId="0" xr:uid="{883D73D6-74FF-4228-B48F-798E446F3307}">
      <text>
        <r>
          <rPr>
            <b/>
            <sz val="9"/>
            <color indexed="81"/>
            <rFont val="Tahoma"/>
            <charset val="1"/>
          </rPr>
          <t>Côté non-atteint (données du côté atteint indisponibles pour ce patient) - à ne pas confondre avec une mesure du côté atteint.</t>
        </r>
      </text>
    </comment>
  </commentList>
</comments>
</file>

<file path=xl/sharedStrings.xml><?xml version="1.0" encoding="utf-8"?>
<sst xmlns="http://schemas.openxmlformats.org/spreadsheetml/2006/main" count="1063" uniqueCount="474">
  <si>
    <t>Patient</t>
  </si>
  <si>
    <t>Numéro</t>
  </si>
  <si>
    <t>ID Cinésiologie</t>
  </si>
  <si>
    <t>18792</t>
  </si>
  <si>
    <t>23370</t>
  </si>
  <si>
    <t>75042</t>
  </si>
  <si>
    <t>30432</t>
  </si>
  <si>
    <t>356971</t>
  </si>
  <si>
    <t>416617</t>
  </si>
  <si>
    <t>10102</t>
  </si>
  <si>
    <t>399423</t>
  </si>
  <si>
    <t>124681</t>
  </si>
  <si>
    <t>321022</t>
  </si>
  <si>
    <t>496545</t>
  </si>
  <si>
    <t>165415</t>
  </si>
  <si>
    <t>605904</t>
  </si>
  <si>
    <t>7375</t>
  </si>
  <si>
    <t>265244</t>
  </si>
  <si>
    <t>728495</t>
  </si>
  <si>
    <t>166206</t>
  </si>
  <si>
    <t>920506</t>
  </si>
  <si>
    <t>865139</t>
  </si>
  <si>
    <t>53972</t>
  </si>
  <si>
    <t>97438620</t>
  </si>
  <si>
    <t>1081778</t>
  </si>
  <si>
    <t>232367</t>
  </si>
  <si>
    <t>27148</t>
  </si>
  <si>
    <t>283057</t>
  </si>
  <si>
    <t>185255</t>
  </si>
  <si>
    <t>733366</t>
  </si>
  <si>
    <t>135407</t>
  </si>
  <si>
    <t>937635</t>
  </si>
  <si>
    <t>31463</t>
  </si>
  <si>
    <t>371245</t>
  </si>
  <si>
    <t>104625</t>
  </si>
  <si>
    <t>97629279</t>
  </si>
  <si>
    <t>397885</t>
  </si>
  <si>
    <t>35477</t>
  </si>
  <si>
    <t>562760</t>
  </si>
  <si>
    <t>394183</t>
  </si>
  <si>
    <t>508762</t>
  </si>
  <si>
    <t>97573449</t>
  </si>
  <si>
    <t>303574</t>
  </si>
  <si>
    <t>138603</t>
  </si>
  <si>
    <t>97186736</t>
  </si>
  <si>
    <t>107777</t>
  </si>
  <si>
    <t>7166</t>
  </si>
  <si>
    <t>97238605</t>
  </si>
  <si>
    <t>13617</t>
  </si>
  <si>
    <t>27523</t>
  </si>
  <si>
    <t>8589</t>
  </si>
  <si>
    <t>973018</t>
  </si>
  <si>
    <t>97865728</t>
  </si>
  <si>
    <t>97333474</t>
  </si>
  <si>
    <t>53789</t>
  </si>
  <si>
    <t>97492179</t>
  </si>
  <si>
    <t>3676</t>
  </si>
  <si>
    <t>372287</t>
  </si>
  <si>
    <t>146544</t>
  </si>
  <si>
    <t>727530</t>
  </si>
  <si>
    <t>125865</t>
  </si>
  <si>
    <t>79823</t>
  </si>
  <si>
    <t>37092</t>
  </si>
  <si>
    <t>977799</t>
  </si>
  <si>
    <t>609367</t>
  </si>
  <si>
    <t>301190</t>
  </si>
  <si>
    <t>211673</t>
  </si>
  <si>
    <t>471512</t>
  </si>
  <si>
    <t>340724</t>
  </si>
  <si>
    <t>132227</t>
  </si>
  <si>
    <t>98868156</t>
  </si>
  <si>
    <t>151607</t>
  </si>
  <si>
    <t>575232</t>
  </si>
  <si>
    <t>426335</t>
  </si>
  <si>
    <t>265219</t>
  </si>
  <si>
    <t>98638206</t>
  </si>
  <si>
    <t>736691</t>
  </si>
  <si>
    <t>944315</t>
  </si>
  <si>
    <t>178816</t>
  </si>
  <si>
    <t>159676</t>
  </si>
  <si>
    <t>17081</t>
  </si>
  <si>
    <t>97137559</t>
  </si>
  <si>
    <t>279782</t>
  </si>
  <si>
    <t>97751608</t>
  </si>
  <si>
    <t>227712</t>
  </si>
  <si>
    <t>59006</t>
  </si>
  <si>
    <t>18175</t>
  </si>
  <si>
    <t>73563</t>
  </si>
  <si>
    <t>97044379</t>
  </si>
  <si>
    <t>376804</t>
  </si>
  <si>
    <t>98779103</t>
  </si>
  <si>
    <t>846648</t>
  </si>
  <si>
    <t>977471</t>
  </si>
  <si>
    <t>98645431</t>
  </si>
  <si>
    <t>593818</t>
  </si>
  <si>
    <t>96054868</t>
  </si>
  <si>
    <t>108260</t>
  </si>
  <si>
    <t>428051</t>
  </si>
  <si>
    <t>97396479</t>
  </si>
  <si>
    <t>161051</t>
  </si>
  <si>
    <t>408557</t>
  </si>
  <si>
    <t>735715</t>
  </si>
  <si>
    <t>224427</t>
  </si>
  <si>
    <t>792089</t>
  </si>
  <si>
    <t>320829</t>
  </si>
  <si>
    <t>19922</t>
  </si>
  <si>
    <t>97078784</t>
  </si>
  <si>
    <t>102587</t>
  </si>
  <si>
    <t>137840</t>
  </si>
  <si>
    <t>98722678</t>
  </si>
  <si>
    <t>949121</t>
  </si>
  <si>
    <t>247112</t>
  </si>
  <si>
    <t>844544</t>
  </si>
  <si>
    <t>589725</t>
  </si>
  <si>
    <t>418338</t>
  </si>
  <si>
    <t>105745</t>
  </si>
  <si>
    <t>97047208</t>
  </si>
  <si>
    <t>91448</t>
  </si>
  <si>
    <t>1037973</t>
  </si>
  <si>
    <t>97516068</t>
  </si>
  <si>
    <t>32981</t>
  </si>
  <si>
    <t>98938674</t>
  </si>
  <si>
    <t>342134</t>
  </si>
  <si>
    <t>309357</t>
  </si>
  <si>
    <t>739322</t>
  </si>
  <si>
    <t>841306</t>
  </si>
  <si>
    <t>196276</t>
  </si>
  <si>
    <t>84788</t>
  </si>
  <si>
    <t>97185403</t>
  </si>
  <si>
    <t>108340</t>
  </si>
  <si>
    <t>364239</t>
  </si>
  <si>
    <t>122206</t>
  </si>
  <si>
    <t>351538</t>
  </si>
  <si>
    <t>727608</t>
  </si>
  <si>
    <t>309124</t>
  </si>
  <si>
    <t>403855</t>
  </si>
  <si>
    <t>617113</t>
  </si>
  <si>
    <t>78323</t>
  </si>
  <si>
    <t>150695</t>
  </si>
  <si>
    <t>634964</t>
  </si>
  <si>
    <t>95059</t>
  </si>
  <si>
    <t>137512</t>
  </si>
  <si>
    <t>206708</t>
  </si>
  <si>
    <t>1081453</t>
  </si>
  <si>
    <t>97206595</t>
  </si>
  <si>
    <t>58471</t>
  </si>
  <si>
    <t>270331</t>
  </si>
  <si>
    <t>869743</t>
  </si>
  <si>
    <t>408670</t>
  </si>
  <si>
    <t>567097</t>
  </si>
  <si>
    <t>86669</t>
  </si>
  <si>
    <t>501057</t>
  </si>
  <si>
    <t>4895</t>
  </si>
  <si>
    <t>96044917</t>
  </si>
  <si>
    <t>236839</t>
  </si>
  <si>
    <t>565328</t>
  </si>
  <si>
    <t>347304</t>
  </si>
  <si>
    <t>218604</t>
  </si>
  <si>
    <t>511398</t>
  </si>
  <si>
    <t>513344</t>
  </si>
  <si>
    <t>14061</t>
  </si>
  <si>
    <t>155208</t>
  </si>
  <si>
    <t>229421</t>
  </si>
  <si>
    <t>589478</t>
  </si>
  <si>
    <t>958013</t>
  </si>
  <si>
    <t>98799235</t>
  </si>
  <si>
    <t>473433</t>
  </si>
  <si>
    <t>728109</t>
  </si>
  <si>
    <t>307818</t>
  </si>
  <si>
    <t>66072</t>
  </si>
  <si>
    <t>762166</t>
  </si>
  <si>
    <t>ID</t>
  </si>
  <si>
    <t>MB</t>
  </si>
  <si>
    <t>NC</t>
  </si>
  <si>
    <t>MD</t>
  </si>
  <si>
    <t>MH</t>
  </si>
  <si>
    <t>MM</t>
  </si>
  <si>
    <t>HP</t>
  </si>
  <si>
    <t>JR</t>
  </si>
  <si>
    <t>CV</t>
  </si>
  <si>
    <t>HM</t>
  </si>
  <si>
    <t>LC</t>
  </si>
  <si>
    <t>GC</t>
  </si>
  <si>
    <t>MJ</t>
  </si>
  <si>
    <t>MV</t>
  </si>
  <si>
    <t>MW</t>
  </si>
  <si>
    <t>JB</t>
  </si>
  <si>
    <t>RB</t>
  </si>
  <si>
    <t>CI</t>
  </si>
  <si>
    <t>DL</t>
  </si>
  <si>
    <t>RS</t>
  </si>
  <si>
    <t>AS</t>
  </si>
  <si>
    <t>CS</t>
  </si>
  <si>
    <t>PB</t>
  </si>
  <si>
    <t>GG</t>
  </si>
  <si>
    <t>MS</t>
  </si>
  <si>
    <t>JG</t>
  </si>
  <si>
    <t>JH</t>
  </si>
  <si>
    <t>JM</t>
  </si>
  <si>
    <t>DC</t>
  </si>
  <si>
    <t>DF</t>
  </si>
  <si>
    <t>MG</t>
  </si>
  <si>
    <t>JS</t>
  </si>
  <si>
    <t>NS</t>
  </si>
  <si>
    <t>MR</t>
  </si>
  <si>
    <t>LR</t>
  </si>
  <si>
    <t>YD</t>
  </si>
  <si>
    <t>PF</t>
  </si>
  <si>
    <t>PG</t>
  </si>
  <si>
    <t>SG</t>
  </si>
  <si>
    <t>AM</t>
  </si>
  <si>
    <t>FR</t>
  </si>
  <si>
    <t>RP</t>
  </si>
  <si>
    <t>MP</t>
  </si>
  <si>
    <t>SP</t>
  </si>
  <si>
    <t>LV</t>
  </si>
  <si>
    <t>RJ</t>
  </si>
  <si>
    <t>RE</t>
  </si>
  <si>
    <t>DP</t>
  </si>
  <si>
    <t>AA</t>
  </si>
  <si>
    <t>OG</t>
  </si>
  <si>
    <t>NM</t>
  </si>
  <si>
    <t>RD</t>
  </si>
  <si>
    <t>BS</t>
  </si>
  <si>
    <t>SH</t>
  </si>
  <si>
    <t>PK</t>
  </si>
  <si>
    <t>RH</t>
  </si>
  <si>
    <t>ML</t>
  </si>
  <si>
    <t>VH</t>
  </si>
  <si>
    <t>SA</t>
  </si>
  <si>
    <t>NT</t>
  </si>
  <si>
    <t>KT</t>
  </si>
  <si>
    <t>IP</t>
  </si>
  <si>
    <t>SD</t>
  </si>
  <si>
    <t>QG</t>
  </si>
  <si>
    <t>GR</t>
  </si>
  <si>
    <t>CJ</t>
  </si>
  <si>
    <t>JI</t>
  </si>
  <si>
    <t>JP</t>
  </si>
  <si>
    <t>DD</t>
  </si>
  <si>
    <t>JW</t>
  </si>
  <si>
    <t>AP</t>
  </si>
  <si>
    <t>PH</t>
  </si>
  <si>
    <t>TF</t>
  </si>
  <si>
    <t>PL</t>
  </si>
  <si>
    <t>DS</t>
  </si>
  <si>
    <t>IM</t>
  </si>
  <si>
    <t>JL</t>
  </si>
  <si>
    <t>MN</t>
  </si>
  <si>
    <t>CR</t>
  </si>
  <si>
    <t>JU</t>
  </si>
  <si>
    <t>PV</t>
  </si>
  <si>
    <t>GM</t>
  </si>
  <si>
    <t>CB</t>
  </si>
  <si>
    <t>PS</t>
  </si>
  <si>
    <t>AC</t>
  </si>
  <si>
    <t>ED</t>
  </si>
  <si>
    <t>JV</t>
  </si>
  <si>
    <t>BL</t>
  </si>
  <si>
    <t>AR</t>
  </si>
  <si>
    <t>HB</t>
  </si>
  <si>
    <t>RV</t>
  </si>
  <si>
    <t>FP</t>
  </si>
  <si>
    <t>FB</t>
  </si>
  <si>
    <t>AH</t>
  </si>
  <si>
    <t>NB</t>
  </si>
  <si>
    <t>VV</t>
  </si>
  <si>
    <t>GI</t>
  </si>
  <si>
    <t>DB</t>
  </si>
  <si>
    <t>GV</t>
  </si>
  <si>
    <t>JA</t>
  </si>
  <si>
    <t>AL</t>
  </si>
  <si>
    <t>NW</t>
  </si>
  <si>
    <t>DG</t>
  </si>
  <si>
    <t>MC</t>
  </si>
  <si>
    <t>FM</t>
  </si>
  <si>
    <t>LB</t>
  </si>
  <si>
    <t>HG</t>
  </si>
  <si>
    <t>SC</t>
  </si>
  <si>
    <t>RF</t>
  </si>
  <si>
    <t>CM</t>
  </si>
  <si>
    <t>DM</t>
  </si>
  <si>
    <t>VP</t>
  </si>
  <si>
    <t>CZ</t>
  </si>
  <si>
    <t>MA</t>
  </si>
  <si>
    <t>EH</t>
  </si>
  <si>
    <t>Age_PRE</t>
  </si>
  <si>
    <t>Genre</t>
  </si>
  <si>
    <t>Taille_PRE</t>
  </si>
  <si>
    <t>Masse_PRE</t>
  </si>
  <si>
    <t>IMC_PRE</t>
  </si>
  <si>
    <t>EVA_PRE</t>
  </si>
  <si>
    <t>Diagnostic</t>
  </si>
  <si>
    <t>Omarthrose excentrée avec usure postérieure (gauche)</t>
  </si>
  <si>
    <t>Rupture transfixiante du sus-épineux (gauche)</t>
  </si>
  <si>
    <t>Omarthrose excentrée (droite)</t>
  </si>
  <si>
    <t>Large rupture de la coiffe postéro-supérieure (droite)</t>
  </si>
  <si>
    <t>Rupture de coiffe massive irréparable (droite)</t>
  </si>
  <si>
    <t>Rupture massive de coiffe irréparable (droite)</t>
  </si>
  <si>
    <t>Pincement complet de l'espace sous acromial (droite)</t>
  </si>
  <si>
    <t>Omarthrose (gauche)</t>
  </si>
  <si>
    <t>Récidive de rupture du sus-épineux et infra-épineux (droite)</t>
  </si>
  <si>
    <t>Omarthrose centré (droite)</t>
  </si>
  <si>
    <t>Rupture de coiffe massive irréparable (gauche)</t>
  </si>
  <si>
    <t>Pseudo-paralysis (droite)</t>
  </si>
  <si>
    <t>Post-fracture de l'humérus (gauche)</t>
  </si>
  <si>
    <t>Rupture massive de la coiffe postéro-supérieur (droite)</t>
  </si>
  <si>
    <t>Large rupture rétractée avec atrophie musculaire de la coiffe postéro-supérieure (droite)</t>
  </si>
  <si>
    <t>Rupture large de la coiffe postéro-supérieure (droite)</t>
  </si>
  <si>
    <t>Rupture de coiffe postéro-supérieure (droite)</t>
  </si>
  <si>
    <t>Luxation invétérée antéro-inférieure (gauche)</t>
  </si>
  <si>
    <t>Diminution du mur postéro-supérieur de la glène (droite)</t>
  </si>
  <si>
    <t>Large rupture de la coiffe postéro-supérieure (gauche)</t>
  </si>
  <si>
    <t>Omarthrose excentrée (gauche)</t>
  </si>
  <si>
    <t>Réparation fracture non satisfaisante (droite)</t>
  </si>
  <si>
    <t>Polyarthrose (prothèses hanches et genoux)</t>
  </si>
  <si>
    <t>Omarthrose (droite)</t>
  </si>
  <si>
    <t>Nécrose aseptique (droite)</t>
  </si>
  <si>
    <t>Erosion antéro-inférieure de la glène majeure (droite)</t>
  </si>
  <si>
    <t>Rerupture massive de la coiffe antéro-supérieure avec rétraction (gauche)</t>
  </si>
  <si>
    <t>Fracture de l'humérus proximal (gauche, juillet 2022)</t>
  </si>
  <si>
    <t>Disparition complète de l'interligne articulaire (droite)</t>
  </si>
  <si>
    <t>Rupture de coiffe massive rétractée (droite)</t>
  </si>
  <si>
    <t>Rupture de coiffe massive du supraépineux rétractée (droite)</t>
  </si>
  <si>
    <t>Omarthrose centrée (droite)</t>
  </si>
  <si>
    <t>Remaniements marqués sous-acromiaux (droite)</t>
  </si>
  <si>
    <t>Omarthrose avec remaniement au niveau glénoidien (droite)</t>
  </si>
  <si>
    <t>Rupture massive de la coiffe des rotateurs (droite)</t>
  </si>
  <si>
    <t>Hémarthrose (droite)</t>
  </si>
  <si>
    <t>Rupture large rétractée de la coiffe (droite)</t>
  </si>
  <si>
    <t>Rupture de la coiffe (droite)</t>
  </si>
  <si>
    <t>Rupture de coiffe complète avec calcification surajoutée (gauche)</t>
  </si>
  <si>
    <t>Rupture massive de coiffe (gauche)</t>
  </si>
  <si>
    <t>Rupture massive de coiffe irréparable (gauche)</t>
  </si>
  <si>
    <t>Omarthrose avec pincement complet (droite)</t>
  </si>
  <si>
    <t>Rupture de coiffe avec rétraction (gauche)</t>
  </si>
  <si>
    <t>Omarthrose excentrée très avancée (droite)</t>
  </si>
  <si>
    <t>Omarthrose avec subluxation postérieure statique (droite)</t>
  </si>
  <si>
    <t>Omarthrose centrée (gauche)</t>
  </si>
  <si>
    <t>Ostéonécrose aseptique (gauche)</t>
  </si>
  <si>
    <t>Rupture complète du supra-épineux (gauche)</t>
  </si>
  <si>
    <t>Rupture massive de la coiffe non réparable (gauche)</t>
  </si>
  <si>
    <t>Lésion de la coiffe massive (gauche)</t>
  </si>
  <si>
    <t>Fracture d'humérus proximal (gauche, plusieurs dizaines d'années)</t>
  </si>
  <si>
    <t>Omarthrose débutante (droite)</t>
  </si>
  <si>
    <t>Rupture de la coiffe postéro-supérieure (droite)</t>
  </si>
  <si>
    <t>Récidive de rupture de coiffe (gauche)</t>
  </si>
  <si>
    <t>Omarthrose de type Hamada grade V (gauche)</t>
  </si>
  <si>
    <t>Rupture de coiffe (droite)</t>
  </si>
  <si>
    <t>Rupture massive rétractée de la coiffe (droite)</t>
  </si>
  <si>
    <t>Rupture de coiffe postéro-supérieure rétractée (droite)</t>
  </si>
  <si>
    <t>Echec de répparation de coiffe (gauche)</t>
  </si>
  <si>
    <t>Fracture de l'humérus proximal (droite)</t>
  </si>
  <si>
    <t>Rupture massive de coiffe irréparable de type Hamada IV (droite)</t>
  </si>
  <si>
    <t>Ostéonécrose avec luxation antéro-inférieure (droite)</t>
  </si>
  <si>
    <t>Luxation traumatique (droite)</t>
  </si>
  <si>
    <t>Rupture de coiffe chronique (droite)</t>
  </si>
  <si>
    <t>Rupture massive de coiffe (droite)</t>
  </si>
  <si>
    <t>Descellement aseptique du composant glenoidien de la prothèse anatomique (droite)</t>
  </si>
  <si>
    <t>Rupture du sous-scapulaire (gauche)</t>
  </si>
  <si>
    <t>Re-rupture de coiffe massive (droite)</t>
  </si>
  <si>
    <t>Omarthrose massive (gauche)</t>
  </si>
  <si>
    <t>Ostéonécrose de la tête humérale (gauche)</t>
  </si>
  <si>
    <t>Pseudoparalysie (droite)</t>
  </si>
  <si>
    <t>Fracture de l'humérus proximal (gauche, 2006)</t>
  </si>
  <si>
    <t>Rupture massive rétractée de la coiffe postérosupérieure (droite)</t>
  </si>
  <si>
    <t>Arthropathie de coiffe (droite)</t>
  </si>
  <si>
    <t>Omarthrose excentrée débutante (droite)</t>
  </si>
  <si>
    <t>Rupture de coiffe (gauche)</t>
  </si>
  <si>
    <t>Ostéonécrose avancée (droite)</t>
  </si>
  <si>
    <t>Rupture transfixiante de la coiffe postéro-supérieure (gauche)</t>
  </si>
  <si>
    <t>Ostéonécrose (droite)</t>
  </si>
  <si>
    <t>Polyarthrite rhumatoïde</t>
  </si>
  <si>
    <t>Rupture de coiffe irréparable (droite)</t>
  </si>
  <si>
    <t>Lésion de coiffe postéro-supérieure</t>
  </si>
  <si>
    <t>Rerupture de coiffe (droite)</t>
  </si>
  <si>
    <t>Rerupture de coiffe (gauche)</t>
  </si>
  <si>
    <t>Rupture massive de la coiffe rétractée (droite)</t>
  </si>
  <si>
    <t>Fracture de l'humérus proximal (gauche)</t>
  </si>
  <si>
    <t>Rupture massive irréparable de la coiffe (gauche)</t>
  </si>
  <si>
    <t>Rupture massive complète rétractée (droite)</t>
  </si>
  <si>
    <t>Rerupture de coiffe massive irréparable (gauche)</t>
  </si>
  <si>
    <t>Rupture de coiffe massive (gauche)</t>
  </si>
  <si>
    <t>Rupture de coiffe massive (droite)</t>
  </si>
  <si>
    <t>Rupture massive de coiffe rétractée (gauche)</t>
  </si>
  <si>
    <t>Re-rupture massive de coiffe (droite)</t>
  </si>
  <si>
    <t>Erosion glénoïdienne (gauche)</t>
  </si>
  <si>
    <t>Previous Surgery</t>
  </si>
  <si>
    <t>-</t>
  </si>
  <si>
    <t>Prothèse totale d'épaule inversée bio (gauche, décembre 2021)</t>
  </si>
  <si>
    <t>Prothèse totale d'épaule inversée (gauche, 2019)</t>
  </si>
  <si>
    <t>Prothèse totale d'épaule inversée bioRSA (06.04.2022, droite)</t>
  </si>
  <si>
    <t>Ténotomie du long chef du biceps (droite, nov 2021)</t>
  </si>
  <si>
    <t>Ténotomie du long chef du biceps (droite, date ?)</t>
  </si>
  <si>
    <t>Réparation fracture humérus (gauche, +/- 1960)</t>
  </si>
  <si>
    <t>Réinsertion des tendons supra et infra-épineux (droite, mai 2022)</t>
  </si>
  <si>
    <t>Infiltration sus-épineux et infra-épineux en mai 2022 (droite)</t>
  </si>
  <si>
    <t>Infiltration (droite, fin 2021)</t>
  </si>
  <si>
    <t>Prothèse totale anatomique d'épaule (droite, 2016)</t>
  </si>
  <si>
    <t>Arthroplastie d'épaule (gauche, +/- 10 ans)</t>
  </si>
  <si>
    <t>Arthroplastie totale inversée d'épaule (droite, sept 2021)</t>
  </si>
  <si>
    <t>Arthroplastie totale inversée d'épaule (droite, 2017)</t>
  </si>
  <si>
    <t>Arthroscopie de coiffe avec suture d'une large rupture rétractée (gauche, août 2022)</t>
  </si>
  <si>
    <t>Infiltration sous-acromiale (droite, juin 2022)</t>
  </si>
  <si>
    <t>Arthroplastie totale anatomique d'épaule (gauche, 2015)</t>
  </si>
  <si>
    <t>Réinsertion arthroscopique de coiffe (droite, juin 2022)</t>
  </si>
  <si>
    <t>Suture de la coiffe postéro-supérieure (droite, 2013)</t>
  </si>
  <si>
    <t>Infiltration (droite, octobre 2022)</t>
  </si>
  <si>
    <t>Arthroscopie d'épaule (droite, 2018)</t>
  </si>
  <si>
    <t>Réparation des tendons de la coiffe (droite, 25 ans en arrière environ)</t>
  </si>
  <si>
    <t>Réinsertion des tendons de la coiffe (droite, 11 ans en arrière environ)</t>
  </si>
  <si>
    <t>Arthroplastie totale inversée (gauche, 28.11.2022)</t>
  </si>
  <si>
    <t>Infiltration (gauche, février 2023)</t>
  </si>
  <si>
    <t>Réinsertion sous-épineux (gauche, 02.2022)</t>
  </si>
  <si>
    <t>Ténotomie du long chef du biceps (gauche, 16.01.2023)</t>
  </si>
  <si>
    <t>Réinsertion de coiffe (gauche, août 2022)</t>
  </si>
  <si>
    <t>Arthroplastie totale anatomique d'épaule (droite, aout 2021)</t>
  </si>
  <si>
    <t>Infiltration (droite, 2022)</t>
  </si>
  <si>
    <t>Arthroplastie totale inversée (droite, 10.06.2020)</t>
  </si>
  <si>
    <t>Arthroplastie totale inversée (droite, 14.12.2022)</t>
  </si>
  <si>
    <t>Réinsertion de la coiffe (gauche, 16.03.2016)</t>
  </si>
  <si>
    <t>Infiltration coiffe (gauche, mars 2023)</t>
  </si>
  <si>
    <t>Réparation de coiffe (gauche, 2017)</t>
  </si>
  <si>
    <t>Plusieurs infiltrations sans succès (droite, dernière mars 2023)</t>
  </si>
  <si>
    <t>Arthroplastie totale inversée d'épaule (droite, date non connue)</t>
  </si>
  <si>
    <t>Suture de coiffe (droite, 2000)</t>
  </si>
  <si>
    <t>Suture de coiffe (droite, 2015)</t>
  </si>
  <si>
    <t>Infiltration (gauche, janvier 2023)</t>
  </si>
  <si>
    <t>Suture de coiffe (droite, 2003)</t>
  </si>
  <si>
    <t>Suture de coiffe (gauche, juillet 2022)</t>
  </si>
  <si>
    <t>Suture de coiffe (droite, 2012)</t>
  </si>
  <si>
    <t>Arthroplastie totale inversée d'épaule (droite, 02.10.2023)</t>
  </si>
  <si>
    <t>Ténodèse du biceps (droite, 08.2023)</t>
  </si>
  <si>
    <t>Infiltration (droite, date non connue)</t>
  </si>
  <si>
    <t>Infiltrations multiples (droite)</t>
  </si>
  <si>
    <t>Réinsertion de coiffe (gauche, juin 2023)</t>
  </si>
  <si>
    <t>Réinsertion de coiffe (gauche, décembre 2023)</t>
  </si>
  <si>
    <t>Réinsertion de coiffe (gauche, aout 2023)</t>
  </si>
  <si>
    <t>Arthroplastie totale anatomique d'épaule (droite, 2018)</t>
  </si>
  <si>
    <t>Arthroplastie totale anatomique d'épaule (gauche, 2021)</t>
  </si>
  <si>
    <t>Réinsertion de coiffe (droite, septembre 2023)</t>
  </si>
  <si>
    <t>Ostéosynthèse humérus (droite, 2016)</t>
  </si>
  <si>
    <t>Réparation de la coiffe (droite, 2018)</t>
  </si>
  <si>
    <t>Ostéosynthèse de l'humérus proximal (gauche, 2021)</t>
  </si>
  <si>
    <t>Réinsertion des tendons de la coiffe (gauche, 2016)</t>
  </si>
  <si>
    <t>Réinsertion des tendons de la coiffe (droite, 2023)</t>
  </si>
  <si>
    <t>Arthroplastie totale inversée d'épaule (droite, 2022)</t>
  </si>
  <si>
    <t>Suture de coiffe (droite, 1998)</t>
  </si>
  <si>
    <t>Arthroplastie totale d'épaule inversée (gauche, 22.11.2021)</t>
  </si>
  <si>
    <t>Ténotomie du biceps (gauche, 2021)</t>
  </si>
  <si>
    <t>Réinsertion de coiffe (gauche, 2023)</t>
  </si>
  <si>
    <t>Traitement conservateur de rupture de coiffe (gauche, 1992)</t>
  </si>
  <si>
    <t>Arthoplastie totale inversée d'épaule (droite, 11.2023)</t>
  </si>
  <si>
    <t>Hémi-arthroplastie d'épaule (gauche, 2023)</t>
  </si>
  <si>
    <t>Ostéosynthèse d'une fracture d'humérus proximal (gauche, 2015)</t>
  </si>
  <si>
    <t>Ténotomie du biceps (droite, 2016)</t>
  </si>
  <si>
    <t>Arthroplastie totale anatomique d'épaule (droite, 2012)</t>
  </si>
  <si>
    <t>Suture de coiffe (gauche, 2024)</t>
  </si>
  <si>
    <t>Arthroplastie totale inversée d'épaule (gauche, 06.2021)</t>
  </si>
  <si>
    <t>Ostéosynthèse humérus proximal (droite, novembre 2023)</t>
  </si>
  <si>
    <t>Réinsertion de coiffe (droite, janvier 2024)</t>
  </si>
  <si>
    <t>Réinsertion de coiffe (droite, 2015)</t>
  </si>
  <si>
    <t>Réinsertion de coiffe (gauche, environ 2004)</t>
  </si>
  <si>
    <t>Suture de coiffe (droite, XXX)</t>
  </si>
  <si>
    <t>Suture de coiffe (droite, 2001)</t>
  </si>
  <si>
    <t>Suture de coiffe (droite, 2010)</t>
  </si>
  <si>
    <t>Réinsertion de coiffe (droite, juin 2024)</t>
  </si>
  <si>
    <t>ASA</t>
  </si>
  <si>
    <t>Latéralité</t>
  </si>
  <si>
    <t>Age_POST</t>
  </si>
  <si>
    <t>Taille_POST</t>
  </si>
  <si>
    <t>Masse_POST</t>
  </si>
  <si>
    <t>IMC_POST</t>
  </si>
  <si>
    <t>EVA_POST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</si>
</sst>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E67E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6"/>
  <sheetViews>
    <sheetView tabSelected="1" workbookViewId="0"/>
  </sheetViews>
  <sheetFormatPr defaultRowHeight="14.25" x14ac:dyDescent="0.45"/>
  <cols>
    <col min="1" max="1" width="7.73046875" customWidth="1"/>
    <col min="2" max="2" width="12.86328125" customWidth="1"/>
    <col min="3" max="3" width="4.73046875" customWidth="1"/>
    <col min="4" max="4" width="8.265625" customWidth="1"/>
    <col min="5" max="5" width="6.06640625" customWidth="1"/>
    <col min="6" max="6" width="9.46484375" customWidth="1"/>
    <col min="7" max="7" width="10.265625" customWidth="1"/>
    <col min="8" max="8" width="8.3984375" customWidth="1"/>
    <col min="9" max="9" width="17.86328125" customWidth="1"/>
    <col min="10" max="10" width="70.73046875" customWidth="1"/>
    <col min="11" max="11" width="67.6640625" customWidth="1"/>
    <col min="12" max="12" width="4.46484375" customWidth="1"/>
    <col min="13" max="13" width="8.796875" customWidth="1"/>
    <col min="14" max="14" width="7.73046875" customWidth="1"/>
    <col min="15" max="15" width="12.86328125" customWidth="1"/>
    <col min="16" max="16" width="4.73046875" customWidth="1"/>
    <col min="17" max="17" width="9.33203125" customWidth="1"/>
    <col min="18" max="18" width="6.06640625" customWidth="1"/>
    <col min="19" max="19" width="10.53125" customWidth="1"/>
    <col min="20" max="20" width="11.33203125" customWidth="1"/>
    <col min="21" max="21" width="9.46484375" customWidth="1"/>
    <col min="22" max="22" width="16.3984375" customWidth="1"/>
    <col min="23" max="23" width="4.46484375" customWidth="1"/>
    <col min="24" max="24" width="8.796875" customWidth="1"/>
  </cols>
  <sheetData>
    <row r="1" spans="1:24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45">
      <c r="A2" t="s">
        <v>1</v>
      </c>
      <c r="B2" t="s">
        <v>2</v>
      </c>
      <c r="C2" t="s">
        <v>171</v>
      </c>
      <c r="D2" t="s">
        <v>286</v>
      </c>
      <c r="E2" t="s">
        <v>287</v>
      </c>
      <c r="F2" t="s">
        <v>288</v>
      </c>
      <c r="G2" t="s">
        <v>289</v>
      </c>
      <c r="H2" t="s">
        <v>290</v>
      </c>
      <c r="I2" t="s">
        <v>291</v>
      </c>
      <c r="J2" t="s">
        <v>292</v>
      </c>
      <c r="K2" t="s">
        <v>387</v>
      </c>
      <c r="L2" t="s">
        <v>467</v>
      </c>
      <c r="M2" t="s">
        <v>468</v>
      </c>
      <c r="N2" t="s">
        <v>1</v>
      </c>
      <c r="O2" t="s">
        <v>2</v>
      </c>
      <c r="P2" t="s">
        <v>171</v>
      </c>
      <c r="Q2" t="s">
        <v>469</v>
      </c>
      <c r="R2" t="s">
        <v>287</v>
      </c>
      <c r="S2" t="s">
        <v>470</v>
      </c>
      <c r="T2" t="s">
        <v>471</v>
      </c>
      <c r="U2" t="s">
        <v>472</v>
      </c>
      <c r="V2" t="s">
        <v>473</v>
      </c>
      <c r="W2" t="s">
        <v>467</v>
      </c>
      <c r="X2" t="s">
        <v>468</v>
      </c>
    </row>
    <row r="4" spans="1:24" x14ac:dyDescent="0.45">
      <c r="A4">
        <v>1</v>
      </c>
      <c r="B4" t="s">
        <v>3</v>
      </c>
      <c r="C4" t="s">
        <v>172</v>
      </c>
      <c r="D4">
        <v>77.150000000000006</v>
      </c>
      <c r="E4">
        <v>1</v>
      </c>
      <c r="F4">
        <v>152</v>
      </c>
      <c r="G4">
        <v>53</v>
      </c>
      <c r="H4">
        <v>22.94</v>
      </c>
      <c r="I4" s="2">
        <f>(1+1.5+1.5+2)/4</f>
        <v>1.5</v>
      </c>
      <c r="J4" t="s">
        <v>293</v>
      </c>
      <c r="K4" t="s">
        <v>388</v>
      </c>
      <c r="M4">
        <v>1</v>
      </c>
      <c r="N4">
        <v>1</v>
      </c>
      <c r="O4" t="s">
        <v>3</v>
      </c>
      <c r="P4" t="s">
        <v>172</v>
      </c>
      <c r="Q4">
        <v>77.930000000000007</v>
      </c>
      <c r="R4">
        <v>1</v>
      </c>
      <c r="S4">
        <v>152</v>
      </c>
      <c r="T4">
        <v>53</v>
      </c>
      <c r="U4">
        <v>22.94</v>
      </c>
      <c r="V4">
        <f>(0+0+1+1)/4</f>
        <v>0.5</v>
      </c>
      <c r="X4">
        <v>1</v>
      </c>
    </row>
    <row r="6" spans="1:24" x14ac:dyDescent="0.45">
      <c r="A6">
        <v>2</v>
      </c>
      <c r="B6" t="s">
        <v>4</v>
      </c>
      <c r="C6" t="s">
        <v>173</v>
      </c>
      <c r="D6">
        <v>65.989999999999995</v>
      </c>
      <c r="E6">
        <v>1</v>
      </c>
      <c r="F6">
        <v>155</v>
      </c>
      <c r="G6">
        <v>70</v>
      </c>
      <c r="H6">
        <v>29.14</v>
      </c>
      <c r="I6" s="2">
        <f>(6+5.5+5.5+5.5)/4</f>
        <v>5.625</v>
      </c>
      <c r="J6" t="s">
        <v>294</v>
      </c>
      <c r="K6" t="s">
        <v>388</v>
      </c>
      <c r="M6">
        <v>1</v>
      </c>
      <c r="N6">
        <v>2</v>
      </c>
      <c r="O6" t="s">
        <v>4</v>
      </c>
      <c r="P6" t="s">
        <v>173</v>
      </c>
      <c r="Q6">
        <v>66.55</v>
      </c>
      <c r="R6">
        <v>1</v>
      </c>
      <c r="S6">
        <v>155</v>
      </c>
      <c r="T6">
        <v>73</v>
      </c>
      <c r="U6">
        <v>30.39</v>
      </c>
      <c r="V6">
        <f>(0.5+3.5+3.5+1)/4</f>
        <v>2.125</v>
      </c>
      <c r="X6">
        <v>1</v>
      </c>
    </row>
    <row r="8" spans="1:24" x14ac:dyDescent="0.45">
      <c r="A8">
        <v>3</v>
      </c>
      <c r="B8" t="s">
        <v>5</v>
      </c>
      <c r="C8" t="s">
        <v>174</v>
      </c>
      <c r="D8">
        <v>82.93</v>
      </c>
      <c r="E8">
        <v>1</v>
      </c>
      <c r="F8">
        <v>162</v>
      </c>
      <c r="G8">
        <v>79</v>
      </c>
      <c r="H8">
        <v>30.1</v>
      </c>
      <c r="I8">
        <f>(8.5+8.5+9+7)/4</f>
        <v>8.25</v>
      </c>
      <c r="J8" t="s">
        <v>295</v>
      </c>
      <c r="K8" t="s">
        <v>388</v>
      </c>
      <c r="M8">
        <v>0</v>
      </c>
      <c r="N8">
        <v>3</v>
      </c>
      <c r="O8" t="s">
        <v>5</v>
      </c>
      <c r="P8" t="s">
        <v>174</v>
      </c>
      <c r="Q8">
        <v>83.62</v>
      </c>
      <c r="R8">
        <v>1</v>
      </c>
      <c r="S8">
        <v>162</v>
      </c>
      <c r="T8">
        <v>84</v>
      </c>
      <c r="U8">
        <v>32.01</v>
      </c>
      <c r="V8">
        <f>(2.5+3+3+3)/4</f>
        <v>2.875</v>
      </c>
      <c r="X8">
        <v>0</v>
      </c>
    </row>
    <row r="10" spans="1:24" x14ac:dyDescent="0.45">
      <c r="A10">
        <v>4</v>
      </c>
      <c r="B10" t="s">
        <v>6</v>
      </c>
      <c r="C10" t="s">
        <v>175</v>
      </c>
      <c r="D10">
        <v>62.3</v>
      </c>
      <c r="E10">
        <v>1</v>
      </c>
      <c r="F10">
        <v>156</v>
      </c>
      <c r="G10">
        <v>42</v>
      </c>
      <c r="H10">
        <v>17.260000000000002</v>
      </c>
      <c r="I10">
        <f>(7+9.5+4+5)/4</f>
        <v>6.375</v>
      </c>
      <c r="J10" t="s">
        <v>296</v>
      </c>
      <c r="K10" t="s">
        <v>388</v>
      </c>
      <c r="M10">
        <v>0</v>
      </c>
      <c r="N10">
        <v>4</v>
      </c>
      <c r="O10" t="s">
        <v>6</v>
      </c>
      <c r="P10" t="s">
        <v>175</v>
      </c>
      <c r="Q10">
        <v>65.56</v>
      </c>
      <c r="R10">
        <v>1</v>
      </c>
      <c r="S10">
        <v>156</v>
      </c>
      <c r="T10">
        <v>42</v>
      </c>
      <c r="U10">
        <v>17.260000000000002</v>
      </c>
      <c r="V10">
        <f>(0+0+0+0)/4</f>
        <v>0</v>
      </c>
      <c r="X10">
        <v>0</v>
      </c>
    </row>
    <row r="12" spans="1:24" x14ac:dyDescent="0.45">
      <c r="A12">
        <v>5</v>
      </c>
      <c r="B12" t="s">
        <v>7</v>
      </c>
      <c r="C12" t="s">
        <v>176</v>
      </c>
      <c r="D12">
        <v>84.85</v>
      </c>
      <c r="E12">
        <v>1</v>
      </c>
      <c r="F12">
        <v>160</v>
      </c>
      <c r="G12">
        <v>54</v>
      </c>
      <c r="H12">
        <v>21.09</v>
      </c>
      <c r="I12">
        <f>(6.5+8.5+8.5+6.5)/4</f>
        <v>7.5</v>
      </c>
      <c r="J12" t="s">
        <v>297</v>
      </c>
      <c r="K12" t="s">
        <v>388</v>
      </c>
      <c r="M12">
        <v>0</v>
      </c>
      <c r="N12">
        <v>5</v>
      </c>
      <c r="O12" t="s">
        <v>7</v>
      </c>
      <c r="P12" t="s">
        <v>176</v>
      </c>
      <c r="Q12">
        <v>86.08</v>
      </c>
      <c r="R12">
        <v>1</v>
      </c>
      <c r="S12">
        <v>160</v>
      </c>
      <c r="T12">
        <v>55</v>
      </c>
      <c r="U12">
        <v>21.48</v>
      </c>
      <c r="V12">
        <f>(0+1+2+4)/4</f>
        <v>1.75</v>
      </c>
      <c r="X12">
        <v>0</v>
      </c>
    </row>
    <row r="14" spans="1:24" x14ac:dyDescent="0.45">
      <c r="A14">
        <v>6</v>
      </c>
      <c r="B14" t="s">
        <v>8</v>
      </c>
      <c r="C14" t="s">
        <v>177</v>
      </c>
      <c r="D14">
        <v>79.680000000000007</v>
      </c>
      <c r="E14">
        <v>1</v>
      </c>
      <c r="F14">
        <v>155</v>
      </c>
      <c r="G14">
        <v>76.5</v>
      </c>
      <c r="H14">
        <v>31.84</v>
      </c>
      <c r="I14">
        <f>(3+1+1+3)/4</f>
        <v>2</v>
      </c>
      <c r="J14" t="s">
        <v>298</v>
      </c>
      <c r="K14" t="s">
        <v>389</v>
      </c>
      <c r="M14">
        <v>0</v>
      </c>
      <c r="N14">
        <v>6</v>
      </c>
      <c r="O14" t="s">
        <v>8</v>
      </c>
      <c r="P14" t="s">
        <v>177</v>
      </c>
      <c r="Q14">
        <v>80.900000000000006</v>
      </c>
      <c r="R14">
        <v>1</v>
      </c>
      <c r="S14">
        <v>155</v>
      </c>
      <c r="T14">
        <v>80</v>
      </c>
      <c r="U14">
        <v>33.299999999999997</v>
      </c>
      <c r="V14">
        <f>(5+5+1+1)/4</f>
        <v>3</v>
      </c>
      <c r="X14">
        <v>0</v>
      </c>
    </row>
    <row r="16" spans="1:24" x14ac:dyDescent="0.45">
      <c r="A16">
        <v>7</v>
      </c>
      <c r="B16" t="s">
        <v>9</v>
      </c>
      <c r="C16" t="s">
        <v>178</v>
      </c>
      <c r="D16">
        <v>75.430000000000007</v>
      </c>
      <c r="E16">
        <v>0</v>
      </c>
      <c r="F16">
        <v>168</v>
      </c>
      <c r="G16">
        <v>68</v>
      </c>
      <c r="H16">
        <v>24.09</v>
      </c>
      <c r="I16">
        <f>(0+1+0+0)/4</f>
        <v>0.25</v>
      </c>
      <c r="J16" t="s">
        <v>295</v>
      </c>
      <c r="K16" t="s">
        <v>390</v>
      </c>
      <c r="M16">
        <v>0</v>
      </c>
      <c r="N16">
        <v>7</v>
      </c>
      <c r="O16" t="s">
        <v>9</v>
      </c>
      <c r="P16" t="s">
        <v>178</v>
      </c>
      <c r="Q16">
        <v>76.150000000000006</v>
      </c>
      <c r="R16">
        <v>0</v>
      </c>
      <c r="S16">
        <v>168</v>
      </c>
      <c r="T16">
        <v>69</v>
      </c>
      <c r="U16">
        <v>24.45</v>
      </c>
      <c r="V16">
        <f>(0+0+0+0)/4</f>
        <v>0</v>
      </c>
      <c r="X16">
        <v>0</v>
      </c>
    </row>
    <row r="18" spans="1:24" x14ac:dyDescent="0.45">
      <c r="A18">
        <v>8</v>
      </c>
      <c r="B18" t="s">
        <v>10</v>
      </c>
      <c r="C18" t="s">
        <v>179</v>
      </c>
      <c r="D18">
        <v>74.8</v>
      </c>
      <c r="E18">
        <v>1</v>
      </c>
      <c r="F18">
        <v>165</v>
      </c>
      <c r="G18">
        <v>60</v>
      </c>
      <c r="H18">
        <v>22.04</v>
      </c>
      <c r="I18">
        <f>(8+6.5+1+1)/4</f>
        <v>4.125</v>
      </c>
      <c r="J18" t="s">
        <v>299</v>
      </c>
      <c r="K18" t="s">
        <v>388</v>
      </c>
      <c r="M18">
        <v>0</v>
      </c>
      <c r="N18">
        <v>8</v>
      </c>
      <c r="O18" t="s">
        <v>10</v>
      </c>
      <c r="P18" t="s">
        <v>179</v>
      </c>
      <c r="Q18">
        <v>76.099999999999994</v>
      </c>
      <c r="R18">
        <v>1</v>
      </c>
      <c r="S18">
        <v>165</v>
      </c>
      <c r="T18">
        <v>60</v>
      </c>
      <c r="U18">
        <v>22.04</v>
      </c>
      <c r="V18">
        <f>(0+0+1+0)/4</f>
        <v>0.25</v>
      </c>
      <c r="X18">
        <v>0</v>
      </c>
    </row>
    <row r="20" spans="1:24" x14ac:dyDescent="0.45">
      <c r="A20">
        <v>9</v>
      </c>
      <c r="B20" t="s">
        <v>11</v>
      </c>
      <c r="C20" t="s">
        <v>180</v>
      </c>
      <c r="D20">
        <v>79.099999999999994</v>
      </c>
      <c r="E20">
        <v>1</v>
      </c>
      <c r="F20">
        <v>169</v>
      </c>
      <c r="G20">
        <v>82</v>
      </c>
      <c r="H20">
        <v>28.71</v>
      </c>
      <c r="I20" s="2">
        <f>(3+4+5+5)/4</f>
        <v>4.25</v>
      </c>
      <c r="J20" t="s">
        <v>300</v>
      </c>
      <c r="K20" t="s">
        <v>391</v>
      </c>
      <c r="M20">
        <v>1</v>
      </c>
      <c r="N20">
        <v>9</v>
      </c>
      <c r="O20" t="s">
        <v>11</v>
      </c>
      <c r="P20" t="s">
        <v>180</v>
      </c>
      <c r="Q20">
        <v>80.28</v>
      </c>
      <c r="R20">
        <v>1</v>
      </c>
      <c r="S20">
        <v>169</v>
      </c>
      <c r="T20">
        <v>83</v>
      </c>
      <c r="U20">
        <v>29.06</v>
      </c>
      <c r="V20">
        <f>(0+0+0+0)/4</f>
        <v>0</v>
      </c>
      <c r="X20">
        <v>1</v>
      </c>
    </row>
    <row r="22" spans="1:24" x14ac:dyDescent="0.45">
      <c r="A22">
        <v>10</v>
      </c>
      <c r="B22" t="s">
        <v>12</v>
      </c>
      <c r="C22" t="s">
        <v>181</v>
      </c>
      <c r="D22">
        <v>58.61</v>
      </c>
      <c r="E22">
        <v>1</v>
      </c>
      <c r="F22">
        <v>164</v>
      </c>
      <c r="G22">
        <v>90</v>
      </c>
      <c r="H22">
        <v>33.46</v>
      </c>
      <c r="I22">
        <f>(5+7+9+9)/4</f>
        <v>7.5</v>
      </c>
      <c r="J22" t="s">
        <v>301</v>
      </c>
      <c r="K22" t="s">
        <v>388</v>
      </c>
      <c r="M22">
        <v>0</v>
      </c>
      <c r="N22">
        <v>10</v>
      </c>
      <c r="O22" t="s">
        <v>12</v>
      </c>
      <c r="P22" t="s">
        <v>181</v>
      </c>
      <c r="Q22">
        <v>59.62</v>
      </c>
      <c r="R22">
        <v>1</v>
      </c>
      <c r="S22">
        <v>164</v>
      </c>
      <c r="T22">
        <v>90</v>
      </c>
      <c r="U22">
        <v>33.46</v>
      </c>
      <c r="V22">
        <f>(5+7+7+5)/4</f>
        <v>6</v>
      </c>
      <c r="X22">
        <v>0</v>
      </c>
    </row>
    <row r="24" spans="1:24" x14ac:dyDescent="0.45">
      <c r="A24">
        <v>11</v>
      </c>
      <c r="B24" t="s">
        <v>13</v>
      </c>
      <c r="C24" t="s">
        <v>182</v>
      </c>
      <c r="D24">
        <v>76.010000000000005</v>
      </c>
      <c r="E24">
        <v>1</v>
      </c>
      <c r="F24">
        <v>172</v>
      </c>
      <c r="G24">
        <v>65</v>
      </c>
      <c r="H24">
        <v>21.97</v>
      </c>
      <c r="I24">
        <f>(8+7+7+7)/4</f>
        <v>7.25</v>
      </c>
      <c r="J24" t="s">
        <v>302</v>
      </c>
      <c r="K24" t="s">
        <v>392</v>
      </c>
      <c r="M24">
        <v>0</v>
      </c>
      <c r="N24">
        <v>11</v>
      </c>
      <c r="O24" t="s">
        <v>13</v>
      </c>
      <c r="P24" t="s">
        <v>182</v>
      </c>
      <c r="Q24">
        <v>77.59</v>
      </c>
      <c r="R24">
        <v>1</v>
      </c>
      <c r="S24">
        <v>172</v>
      </c>
      <c r="T24">
        <v>65</v>
      </c>
      <c r="U24">
        <v>21.97</v>
      </c>
      <c r="V24">
        <f>(0+0+1+0)/4</f>
        <v>0.25</v>
      </c>
      <c r="X24">
        <v>0</v>
      </c>
    </row>
    <row r="26" spans="1:24" x14ac:dyDescent="0.45">
      <c r="A26">
        <v>12</v>
      </c>
      <c r="B26" t="s">
        <v>14</v>
      </c>
      <c r="C26" t="s">
        <v>183</v>
      </c>
      <c r="D26">
        <v>87.37</v>
      </c>
      <c r="E26">
        <v>1</v>
      </c>
      <c r="F26">
        <v>160</v>
      </c>
      <c r="G26">
        <v>61.7</v>
      </c>
      <c r="H26">
        <v>24.1</v>
      </c>
      <c r="I26">
        <f>(3+5+5+6.5)/4</f>
        <v>4.875</v>
      </c>
      <c r="J26" t="s">
        <v>295</v>
      </c>
      <c r="K26" t="s">
        <v>388</v>
      </c>
      <c r="M26">
        <v>0</v>
      </c>
      <c r="N26">
        <v>12</v>
      </c>
      <c r="O26" t="s">
        <v>14</v>
      </c>
      <c r="P26" t="s">
        <v>183</v>
      </c>
      <c r="Q26">
        <v>88.36</v>
      </c>
      <c r="R26">
        <v>1</v>
      </c>
      <c r="S26">
        <v>160</v>
      </c>
      <c r="T26">
        <v>61.7</v>
      </c>
      <c r="U26">
        <v>24.1</v>
      </c>
      <c r="V26">
        <f>(3+3+3+4)/4</f>
        <v>3.25</v>
      </c>
      <c r="X26">
        <v>0</v>
      </c>
    </row>
    <row r="28" spans="1:24" x14ac:dyDescent="0.45">
      <c r="A28">
        <v>13</v>
      </c>
      <c r="B28" t="s">
        <v>15</v>
      </c>
      <c r="C28" t="s">
        <v>184</v>
      </c>
      <c r="D28">
        <v>57.82</v>
      </c>
      <c r="E28">
        <v>1</v>
      </c>
      <c r="F28">
        <v>162</v>
      </c>
      <c r="G28">
        <v>97</v>
      </c>
      <c r="H28">
        <v>36.96</v>
      </c>
      <c r="I28">
        <f>(7+5+3.5+5.5)/4</f>
        <v>5.25</v>
      </c>
      <c r="J28" t="s">
        <v>297</v>
      </c>
      <c r="K28" t="s">
        <v>393</v>
      </c>
      <c r="M28">
        <v>0</v>
      </c>
      <c r="N28">
        <v>13</v>
      </c>
      <c r="O28" t="s">
        <v>15</v>
      </c>
      <c r="P28" t="s">
        <v>184</v>
      </c>
      <c r="Q28">
        <v>58.36</v>
      </c>
      <c r="R28">
        <v>1</v>
      </c>
      <c r="S28">
        <v>162</v>
      </c>
      <c r="T28">
        <v>97</v>
      </c>
      <c r="U28">
        <v>36.96</v>
      </c>
      <c r="V28">
        <f>(0+0+0+0)/4</f>
        <v>0</v>
      </c>
      <c r="X28">
        <v>0</v>
      </c>
    </row>
    <row r="30" spans="1:24" x14ac:dyDescent="0.45">
      <c r="A30">
        <v>14</v>
      </c>
      <c r="B30" t="s">
        <v>16</v>
      </c>
      <c r="C30" t="s">
        <v>185</v>
      </c>
      <c r="D30">
        <v>73.84</v>
      </c>
      <c r="E30">
        <v>0</v>
      </c>
      <c r="F30">
        <v>178</v>
      </c>
      <c r="G30">
        <v>67</v>
      </c>
      <c r="H30">
        <v>21.15</v>
      </c>
      <c r="I30" s="2">
        <f>(7+9+9+9)/4</f>
        <v>8.5</v>
      </c>
      <c r="J30" t="s">
        <v>303</v>
      </c>
      <c r="K30" t="s">
        <v>388</v>
      </c>
      <c r="M30">
        <v>1</v>
      </c>
      <c r="N30">
        <v>14</v>
      </c>
      <c r="O30" t="s">
        <v>16</v>
      </c>
      <c r="P30" t="s">
        <v>185</v>
      </c>
      <c r="Q30">
        <v>74.430000000000007</v>
      </c>
      <c r="R30">
        <v>0</v>
      </c>
      <c r="S30">
        <v>178</v>
      </c>
      <c r="T30">
        <v>70</v>
      </c>
      <c r="U30">
        <v>22.09</v>
      </c>
      <c r="V30">
        <f>(5+6+5+6)/4</f>
        <v>5.5</v>
      </c>
      <c r="X30">
        <v>1</v>
      </c>
    </row>
    <row r="32" spans="1:24" x14ac:dyDescent="0.45">
      <c r="A32">
        <v>15</v>
      </c>
      <c r="B32" t="s">
        <v>17</v>
      </c>
      <c r="C32" t="s">
        <v>186</v>
      </c>
      <c r="D32">
        <v>78.25</v>
      </c>
      <c r="E32">
        <v>0</v>
      </c>
      <c r="F32">
        <v>178</v>
      </c>
      <c r="G32">
        <v>74</v>
      </c>
      <c r="H32">
        <v>23.36</v>
      </c>
      <c r="I32">
        <f>(1+1+0+0)/4</f>
        <v>0.5</v>
      </c>
      <c r="J32" t="s">
        <v>304</v>
      </c>
      <c r="K32" t="s">
        <v>388</v>
      </c>
      <c r="M32">
        <v>0</v>
      </c>
      <c r="N32">
        <v>15</v>
      </c>
      <c r="O32" t="s">
        <v>17</v>
      </c>
      <c r="P32" t="s">
        <v>186</v>
      </c>
      <c r="Q32">
        <v>79.31</v>
      </c>
      <c r="R32">
        <v>0</v>
      </c>
      <c r="S32">
        <v>178</v>
      </c>
      <c r="T32">
        <v>74</v>
      </c>
      <c r="U32">
        <v>23.36</v>
      </c>
      <c r="V32">
        <f>(0+0+1+1)/4</f>
        <v>0.5</v>
      </c>
      <c r="X32">
        <v>0</v>
      </c>
    </row>
    <row r="34" spans="1:24" x14ac:dyDescent="0.45">
      <c r="A34">
        <v>16</v>
      </c>
      <c r="B34" t="s">
        <v>18</v>
      </c>
      <c r="C34" t="s">
        <v>187</v>
      </c>
      <c r="D34">
        <v>88.74</v>
      </c>
      <c r="E34">
        <v>1</v>
      </c>
      <c r="F34">
        <v>150</v>
      </c>
      <c r="G34">
        <v>57</v>
      </c>
      <c r="H34">
        <v>25.33</v>
      </c>
      <c r="I34" s="2">
        <f>(4+6+4+2)/4</f>
        <v>4</v>
      </c>
      <c r="J34" t="s">
        <v>305</v>
      </c>
      <c r="K34" t="s">
        <v>394</v>
      </c>
      <c r="M34">
        <v>1</v>
      </c>
      <c r="N34">
        <v>16</v>
      </c>
      <c r="O34" t="s">
        <v>18</v>
      </c>
      <c r="P34" t="s">
        <v>187</v>
      </c>
      <c r="Q34">
        <v>89.85</v>
      </c>
      <c r="R34">
        <v>1</v>
      </c>
      <c r="S34">
        <v>150</v>
      </c>
      <c r="T34">
        <v>58</v>
      </c>
      <c r="U34">
        <v>25.78</v>
      </c>
      <c r="V34">
        <f>(0+0+0+0)/4</f>
        <v>0</v>
      </c>
      <c r="X34">
        <v>1</v>
      </c>
    </row>
    <row r="36" spans="1:24" x14ac:dyDescent="0.45">
      <c r="A36">
        <v>17</v>
      </c>
      <c r="B36" t="s">
        <v>19</v>
      </c>
      <c r="C36" t="s">
        <v>188</v>
      </c>
      <c r="D36">
        <v>66.260000000000005</v>
      </c>
      <c r="E36">
        <v>0</v>
      </c>
      <c r="F36">
        <v>180</v>
      </c>
      <c r="G36">
        <v>71</v>
      </c>
      <c r="H36">
        <v>21.91</v>
      </c>
      <c r="I36">
        <f>(0+0+1+1)/4</f>
        <v>0.5</v>
      </c>
      <c r="J36" t="s">
        <v>306</v>
      </c>
      <c r="K36" t="s">
        <v>395</v>
      </c>
      <c r="M36">
        <v>0</v>
      </c>
      <c r="N36">
        <v>17</v>
      </c>
      <c r="O36" t="s">
        <v>19</v>
      </c>
      <c r="P36" t="s">
        <v>188</v>
      </c>
      <c r="Q36">
        <v>67.260000000000005</v>
      </c>
      <c r="R36">
        <v>0</v>
      </c>
      <c r="S36">
        <v>180</v>
      </c>
      <c r="T36">
        <v>72</v>
      </c>
      <c r="U36">
        <v>22.22</v>
      </c>
      <c r="V36">
        <f>(0+0+0+0)/4</f>
        <v>0</v>
      </c>
      <c r="X36">
        <v>0</v>
      </c>
    </row>
    <row r="38" spans="1:24" x14ac:dyDescent="0.45">
      <c r="A38">
        <v>18</v>
      </c>
      <c r="B38" t="s">
        <v>20</v>
      </c>
      <c r="C38" t="s">
        <v>189</v>
      </c>
      <c r="D38">
        <v>57.96</v>
      </c>
      <c r="E38">
        <v>0</v>
      </c>
      <c r="F38">
        <v>183</v>
      </c>
      <c r="G38">
        <v>101</v>
      </c>
      <c r="H38">
        <v>30.16</v>
      </c>
      <c r="I38">
        <f>(0+0+0+0)/4</f>
        <v>0</v>
      </c>
      <c r="J38" t="s">
        <v>307</v>
      </c>
      <c r="K38" t="s">
        <v>388</v>
      </c>
      <c r="M38">
        <v>0</v>
      </c>
      <c r="N38">
        <v>18</v>
      </c>
      <c r="O38" t="s">
        <v>20</v>
      </c>
      <c r="P38" t="s">
        <v>189</v>
      </c>
      <c r="Q38">
        <v>58.96</v>
      </c>
      <c r="R38">
        <v>0</v>
      </c>
      <c r="S38">
        <v>183</v>
      </c>
      <c r="T38">
        <v>98</v>
      </c>
      <c r="U38">
        <v>29.26</v>
      </c>
      <c r="V38">
        <f>(0+0+0+1)/4</f>
        <v>0.25</v>
      </c>
      <c r="X38">
        <v>0</v>
      </c>
    </row>
    <row r="40" spans="1:24" x14ac:dyDescent="0.45">
      <c r="A40">
        <v>19</v>
      </c>
      <c r="B40" t="s">
        <v>21</v>
      </c>
      <c r="C40" t="s">
        <v>190</v>
      </c>
      <c r="D40">
        <v>76.5</v>
      </c>
      <c r="E40">
        <v>1</v>
      </c>
      <c r="F40">
        <v>160</v>
      </c>
      <c r="G40">
        <v>68</v>
      </c>
      <c r="H40">
        <v>26.56</v>
      </c>
      <c r="I40">
        <f>(1+1+2.5+2.5)/4</f>
        <v>1.75</v>
      </c>
      <c r="J40" t="s">
        <v>308</v>
      </c>
      <c r="K40" t="s">
        <v>396</v>
      </c>
      <c r="M40">
        <v>0</v>
      </c>
      <c r="N40">
        <v>19</v>
      </c>
      <c r="O40" t="s">
        <v>21</v>
      </c>
      <c r="P40" t="s">
        <v>190</v>
      </c>
      <c r="Q40">
        <v>77.599999999999994</v>
      </c>
      <c r="R40">
        <v>1</v>
      </c>
      <c r="S40">
        <v>160</v>
      </c>
      <c r="T40">
        <v>63</v>
      </c>
      <c r="U40">
        <v>24.61</v>
      </c>
      <c r="V40">
        <f>(0+1+1+0)/4</f>
        <v>0.5</v>
      </c>
      <c r="X40">
        <v>0</v>
      </c>
    </row>
    <row r="42" spans="1:24" x14ac:dyDescent="0.45">
      <c r="A42">
        <v>20</v>
      </c>
      <c r="B42" t="s">
        <v>22</v>
      </c>
      <c r="C42" t="s">
        <v>191</v>
      </c>
      <c r="D42">
        <v>71.739999999999995</v>
      </c>
      <c r="E42">
        <v>0</v>
      </c>
      <c r="F42">
        <v>170</v>
      </c>
      <c r="G42">
        <v>70</v>
      </c>
      <c r="H42">
        <v>24.22</v>
      </c>
      <c r="I42">
        <f>(7+7+5+5)/4</f>
        <v>6</v>
      </c>
      <c r="J42" t="s">
        <v>309</v>
      </c>
      <c r="K42" t="s">
        <v>397</v>
      </c>
      <c r="M42">
        <v>0</v>
      </c>
      <c r="N42">
        <v>20</v>
      </c>
      <c r="O42" t="s">
        <v>22</v>
      </c>
      <c r="P42" t="s">
        <v>191</v>
      </c>
      <c r="Q42">
        <v>73.03</v>
      </c>
      <c r="R42">
        <v>0</v>
      </c>
      <c r="S42">
        <v>160</v>
      </c>
      <c r="T42">
        <v>66</v>
      </c>
      <c r="U42">
        <v>25.78</v>
      </c>
      <c r="V42">
        <f>(0+0+0+0)/4</f>
        <v>0</v>
      </c>
      <c r="X42">
        <v>0</v>
      </c>
    </row>
    <row r="44" spans="1:24" x14ac:dyDescent="0.45">
      <c r="A44">
        <v>21</v>
      </c>
      <c r="B44" t="s">
        <v>23</v>
      </c>
      <c r="C44" t="s">
        <v>192</v>
      </c>
      <c r="D44">
        <v>83.45</v>
      </c>
      <c r="E44">
        <v>1</v>
      </c>
      <c r="F44">
        <v>157</v>
      </c>
      <c r="G44">
        <v>42</v>
      </c>
      <c r="H44">
        <v>17.04</v>
      </c>
      <c r="I44" s="2">
        <f>(5+0+0+7)/4</f>
        <v>3</v>
      </c>
      <c r="J44" t="s">
        <v>310</v>
      </c>
      <c r="K44" t="s">
        <v>388</v>
      </c>
      <c r="M44">
        <v>1</v>
      </c>
      <c r="N44">
        <v>21</v>
      </c>
      <c r="O44" t="s">
        <v>23</v>
      </c>
      <c r="P44" t="s">
        <v>192</v>
      </c>
      <c r="Q44">
        <v>84.65</v>
      </c>
      <c r="R44">
        <v>1</v>
      </c>
      <c r="S44">
        <v>157</v>
      </c>
      <c r="T44">
        <v>42</v>
      </c>
      <c r="U44">
        <v>17.04</v>
      </c>
      <c r="V44">
        <f>(0+0+0+0)/4</f>
        <v>0</v>
      </c>
      <c r="X44">
        <v>1</v>
      </c>
    </row>
    <row r="46" spans="1:24" x14ac:dyDescent="0.45">
      <c r="A46">
        <v>22</v>
      </c>
      <c r="B46" t="s">
        <v>24</v>
      </c>
      <c r="C46" t="s">
        <v>193</v>
      </c>
      <c r="D46">
        <v>76.260000000000005</v>
      </c>
      <c r="E46">
        <v>0</v>
      </c>
      <c r="F46">
        <v>172</v>
      </c>
      <c r="G46">
        <v>85</v>
      </c>
      <c r="H46">
        <v>28.73</v>
      </c>
      <c r="I46">
        <f>(5+7+5+7)/4</f>
        <v>6</v>
      </c>
      <c r="J46" t="s">
        <v>311</v>
      </c>
      <c r="K46" t="s">
        <v>398</v>
      </c>
      <c r="M46">
        <v>0</v>
      </c>
      <c r="N46">
        <v>22</v>
      </c>
      <c r="O46" t="s">
        <v>24</v>
      </c>
      <c r="P46" t="s">
        <v>193</v>
      </c>
      <c r="Q46">
        <v>77.260000000000005</v>
      </c>
      <c r="R46">
        <v>0</v>
      </c>
      <c r="S46">
        <v>172</v>
      </c>
      <c r="T46">
        <v>85</v>
      </c>
      <c r="U46">
        <v>28.73</v>
      </c>
      <c r="V46">
        <f>(7+7+5+6)/4</f>
        <v>6.25</v>
      </c>
      <c r="X46">
        <v>0</v>
      </c>
    </row>
    <row r="48" spans="1:24" x14ac:dyDescent="0.45">
      <c r="A48">
        <v>23</v>
      </c>
      <c r="B48" t="s">
        <v>25</v>
      </c>
      <c r="C48" t="s">
        <v>194</v>
      </c>
      <c r="D48">
        <v>74.319999999999993</v>
      </c>
      <c r="E48">
        <v>1</v>
      </c>
      <c r="F48">
        <v>168</v>
      </c>
      <c r="G48">
        <v>63</v>
      </c>
      <c r="H48">
        <v>22.32</v>
      </c>
      <c r="I48" s="2">
        <f>(0+3+1+0)/4</f>
        <v>1</v>
      </c>
      <c r="J48" t="s">
        <v>312</v>
      </c>
      <c r="K48" t="s">
        <v>388</v>
      </c>
      <c r="M48">
        <v>1</v>
      </c>
      <c r="N48">
        <v>23</v>
      </c>
      <c r="O48" t="s">
        <v>25</v>
      </c>
      <c r="P48" t="s">
        <v>194</v>
      </c>
      <c r="Q48">
        <v>75.37</v>
      </c>
      <c r="R48">
        <v>1</v>
      </c>
      <c r="S48">
        <v>168</v>
      </c>
      <c r="T48">
        <v>63</v>
      </c>
      <c r="U48">
        <v>22.32</v>
      </c>
      <c r="V48">
        <f>(0+0+0+0)/4</f>
        <v>0</v>
      </c>
      <c r="X48">
        <v>1</v>
      </c>
    </row>
    <row r="50" spans="1:24" x14ac:dyDescent="0.45">
      <c r="A50">
        <v>24</v>
      </c>
      <c r="B50" t="s">
        <v>26</v>
      </c>
      <c r="C50" t="s">
        <v>195</v>
      </c>
      <c r="D50">
        <v>75.02</v>
      </c>
      <c r="E50">
        <v>1</v>
      </c>
      <c r="F50">
        <v>173</v>
      </c>
      <c r="G50">
        <v>75</v>
      </c>
      <c r="H50">
        <v>25.06</v>
      </c>
      <c r="I50" s="2">
        <f>(4+5+0+2)/4</f>
        <v>2.75</v>
      </c>
      <c r="J50" t="s">
        <v>313</v>
      </c>
      <c r="K50" t="s">
        <v>388</v>
      </c>
      <c r="M50">
        <v>1</v>
      </c>
      <c r="N50">
        <v>24</v>
      </c>
      <c r="O50" t="s">
        <v>26</v>
      </c>
      <c r="P50" t="s">
        <v>195</v>
      </c>
      <c r="Q50">
        <v>76.13</v>
      </c>
      <c r="R50">
        <v>1</v>
      </c>
      <c r="S50">
        <v>173</v>
      </c>
      <c r="T50">
        <v>75</v>
      </c>
      <c r="U50">
        <v>25.06</v>
      </c>
      <c r="V50">
        <f>(0+0+1+0)/4</f>
        <v>0.25</v>
      </c>
      <c r="X50">
        <v>1</v>
      </c>
    </row>
    <row r="52" spans="1:24" x14ac:dyDescent="0.45">
      <c r="A52">
        <v>25</v>
      </c>
      <c r="B52" t="s">
        <v>27</v>
      </c>
      <c r="C52" t="s">
        <v>174</v>
      </c>
      <c r="D52">
        <v>80.78</v>
      </c>
      <c r="E52">
        <v>1</v>
      </c>
      <c r="F52">
        <v>160</v>
      </c>
      <c r="G52">
        <v>54</v>
      </c>
      <c r="H52">
        <v>21.09</v>
      </c>
      <c r="I52" s="2">
        <f>(6+8+6+7)/4</f>
        <v>6.75</v>
      </c>
      <c r="J52" t="s">
        <v>300</v>
      </c>
      <c r="K52" t="s">
        <v>388</v>
      </c>
      <c r="M52">
        <v>1</v>
      </c>
      <c r="N52">
        <v>25</v>
      </c>
      <c r="O52" t="s">
        <v>27</v>
      </c>
      <c r="P52" t="s">
        <v>174</v>
      </c>
      <c r="Q52">
        <v>81.790000000000006</v>
      </c>
      <c r="R52">
        <v>1</v>
      </c>
      <c r="S52">
        <v>160</v>
      </c>
      <c r="T52">
        <v>56</v>
      </c>
      <c r="U52">
        <v>21.88</v>
      </c>
      <c r="V52">
        <f>(5+5+2+4)/4</f>
        <v>4</v>
      </c>
      <c r="X52">
        <v>1</v>
      </c>
    </row>
    <row r="54" spans="1:24" x14ac:dyDescent="0.45">
      <c r="A54">
        <v>26</v>
      </c>
      <c r="B54" t="s">
        <v>28</v>
      </c>
      <c r="C54" t="s">
        <v>196</v>
      </c>
      <c r="D54">
        <v>58.55</v>
      </c>
      <c r="E54">
        <v>0</v>
      </c>
      <c r="F54">
        <v>175</v>
      </c>
      <c r="G54">
        <v>72</v>
      </c>
      <c r="H54">
        <v>23.51</v>
      </c>
      <c r="I54">
        <f>(7+8+7+7)/4</f>
        <v>7.25</v>
      </c>
      <c r="J54" t="s">
        <v>314</v>
      </c>
      <c r="K54" t="s">
        <v>399</v>
      </c>
      <c r="M54">
        <v>0</v>
      </c>
      <c r="N54">
        <v>26</v>
      </c>
      <c r="O54" t="s">
        <v>28</v>
      </c>
      <c r="P54" t="s">
        <v>196</v>
      </c>
      <c r="Q54">
        <v>59.55</v>
      </c>
      <c r="R54">
        <v>0</v>
      </c>
      <c r="S54">
        <v>175</v>
      </c>
      <c r="T54">
        <v>75</v>
      </c>
      <c r="U54">
        <v>24.49</v>
      </c>
      <c r="V54">
        <f>(2+3+3+4)/4</f>
        <v>3</v>
      </c>
      <c r="X54">
        <v>0</v>
      </c>
    </row>
    <row r="56" spans="1:24" x14ac:dyDescent="0.45">
      <c r="A56">
        <v>27</v>
      </c>
      <c r="B56" t="s">
        <v>29</v>
      </c>
      <c r="C56" t="s">
        <v>197</v>
      </c>
      <c r="D56">
        <v>75.459999999999994</v>
      </c>
      <c r="E56">
        <v>1</v>
      </c>
      <c r="F56">
        <v>157</v>
      </c>
      <c r="G56">
        <v>80</v>
      </c>
      <c r="H56">
        <v>32.46</v>
      </c>
      <c r="I56">
        <f>(5+5+5+5)/4</f>
        <v>5</v>
      </c>
      <c r="J56" t="s">
        <v>300</v>
      </c>
      <c r="K56" t="s">
        <v>400</v>
      </c>
      <c r="M56">
        <v>1</v>
      </c>
      <c r="N56">
        <v>27</v>
      </c>
      <c r="O56" t="s">
        <v>29</v>
      </c>
      <c r="P56" t="s">
        <v>197</v>
      </c>
      <c r="Q56">
        <v>76.5</v>
      </c>
      <c r="R56">
        <v>1</v>
      </c>
      <c r="S56">
        <v>157</v>
      </c>
      <c r="T56">
        <v>80</v>
      </c>
      <c r="U56">
        <v>32.46</v>
      </c>
      <c r="V56">
        <f>(0+0+0+0)/4</f>
        <v>0</v>
      </c>
      <c r="X56">
        <v>1</v>
      </c>
    </row>
    <row r="58" spans="1:24" x14ac:dyDescent="0.45">
      <c r="A58">
        <v>28</v>
      </c>
      <c r="B58" t="s">
        <v>30</v>
      </c>
      <c r="C58" t="s">
        <v>198</v>
      </c>
      <c r="D58">
        <v>82.23</v>
      </c>
      <c r="E58">
        <v>1</v>
      </c>
      <c r="F58">
        <v>153</v>
      </c>
      <c r="G58">
        <v>70</v>
      </c>
      <c r="H58">
        <v>29.9</v>
      </c>
      <c r="I58">
        <f>(6+6+6+6)/4</f>
        <v>6</v>
      </c>
      <c r="J58" t="s">
        <v>315</v>
      </c>
      <c r="K58" t="s">
        <v>388</v>
      </c>
      <c r="M58">
        <v>1</v>
      </c>
      <c r="N58">
        <v>28</v>
      </c>
      <c r="O58" t="s">
        <v>30</v>
      </c>
      <c r="P58" t="s">
        <v>198</v>
      </c>
      <c r="Q58">
        <v>83.24</v>
      </c>
      <c r="R58">
        <v>1</v>
      </c>
      <c r="S58">
        <v>153</v>
      </c>
      <c r="T58">
        <v>74</v>
      </c>
      <c r="U58">
        <v>31.61</v>
      </c>
      <c r="V58">
        <f>(0+0+0+0)/4</f>
        <v>0</v>
      </c>
      <c r="X58">
        <v>1</v>
      </c>
    </row>
    <row r="60" spans="1:24" x14ac:dyDescent="0.45">
      <c r="A60">
        <v>29</v>
      </c>
      <c r="B60" t="s">
        <v>31</v>
      </c>
      <c r="C60" t="s">
        <v>199</v>
      </c>
      <c r="D60">
        <v>80.88</v>
      </c>
      <c r="E60">
        <v>0</v>
      </c>
      <c r="F60">
        <v>187</v>
      </c>
      <c r="G60">
        <v>83</v>
      </c>
      <c r="H60">
        <v>23.74</v>
      </c>
      <c r="I60">
        <f>(2.5+2.5+2+1)/4</f>
        <v>2</v>
      </c>
      <c r="J60" t="s">
        <v>295</v>
      </c>
      <c r="K60" t="s">
        <v>388</v>
      </c>
      <c r="M60">
        <v>0</v>
      </c>
      <c r="N60">
        <v>29</v>
      </c>
      <c r="O60" t="s">
        <v>31</v>
      </c>
      <c r="P60" t="s">
        <v>199</v>
      </c>
      <c r="Q60">
        <v>81.95</v>
      </c>
      <c r="R60">
        <v>0</v>
      </c>
      <c r="S60">
        <v>187</v>
      </c>
      <c r="T60">
        <v>80</v>
      </c>
      <c r="U60">
        <v>22.88</v>
      </c>
      <c r="V60">
        <f>(0+0+0+0)/4</f>
        <v>0</v>
      </c>
      <c r="X60">
        <v>0</v>
      </c>
    </row>
    <row r="62" spans="1:24" x14ac:dyDescent="0.45">
      <c r="A62">
        <v>30</v>
      </c>
      <c r="B62" t="s">
        <v>32</v>
      </c>
      <c r="C62" t="s">
        <v>200</v>
      </c>
      <c r="D62">
        <v>83.55</v>
      </c>
      <c r="E62">
        <v>1</v>
      </c>
      <c r="F62">
        <v>157</v>
      </c>
      <c r="G62">
        <v>59</v>
      </c>
      <c r="H62">
        <v>23.94</v>
      </c>
      <c r="I62">
        <f>(10+10+10+10)/4</f>
        <v>10</v>
      </c>
      <c r="J62" t="s">
        <v>316</v>
      </c>
      <c r="K62" t="s">
        <v>388</v>
      </c>
      <c r="M62">
        <v>0</v>
      </c>
      <c r="N62">
        <v>30</v>
      </c>
      <c r="O62" t="s">
        <v>32</v>
      </c>
      <c r="P62" t="s">
        <v>200</v>
      </c>
      <c r="Q62">
        <v>84.66</v>
      </c>
      <c r="R62">
        <v>1</v>
      </c>
      <c r="S62">
        <v>157</v>
      </c>
      <c r="T62">
        <v>59</v>
      </c>
      <c r="U62">
        <v>23.94</v>
      </c>
      <c r="V62">
        <f>(5+8+5+5)/4</f>
        <v>5.75</v>
      </c>
      <c r="X62">
        <v>0</v>
      </c>
    </row>
    <row r="64" spans="1:24" x14ac:dyDescent="0.45">
      <c r="A64">
        <v>31</v>
      </c>
      <c r="B64" t="s">
        <v>33</v>
      </c>
      <c r="C64" t="s">
        <v>201</v>
      </c>
      <c r="D64">
        <v>61.97</v>
      </c>
      <c r="E64">
        <v>0</v>
      </c>
      <c r="F64">
        <v>162</v>
      </c>
      <c r="G64">
        <v>65</v>
      </c>
      <c r="H64">
        <v>24.77</v>
      </c>
      <c r="I64">
        <f>(6+6+7+7)/4</f>
        <v>6.5</v>
      </c>
      <c r="J64" t="s">
        <v>317</v>
      </c>
      <c r="K64" t="s">
        <v>388</v>
      </c>
      <c r="M64">
        <v>0</v>
      </c>
      <c r="N64">
        <v>31</v>
      </c>
      <c r="O64" t="s">
        <v>33</v>
      </c>
      <c r="P64" t="s">
        <v>201</v>
      </c>
      <c r="Q64">
        <v>63.04</v>
      </c>
      <c r="R64">
        <v>0</v>
      </c>
      <c r="S64">
        <v>162</v>
      </c>
      <c r="T64">
        <v>65</v>
      </c>
      <c r="U64">
        <v>24.77</v>
      </c>
      <c r="V64">
        <f>(0+2+2+2)/4</f>
        <v>1.5</v>
      </c>
      <c r="X64">
        <v>0</v>
      </c>
    </row>
    <row r="66" spans="1:24" x14ac:dyDescent="0.45">
      <c r="A66">
        <v>32</v>
      </c>
      <c r="B66" t="s">
        <v>34</v>
      </c>
      <c r="C66" t="s">
        <v>176</v>
      </c>
      <c r="D66">
        <v>85.14</v>
      </c>
      <c r="E66">
        <v>1</v>
      </c>
      <c r="F66">
        <v>162</v>
      </c>
      <c r="G66">
        <v>67</v>
      </c>
      <c r="H66">
        <v>25.53</v>
      </c>
      <c r="I66" s="2">
        <f>(8+8+8+8)/4</f>
        <v>8</v>
      </c>
      <c r="J66" t="s">
        <v>300</v>
      </c>
      <c r="K66" t="s">
        <v>388</v>
      </c>
      <c r="M66">
        <v>1</v>
      </c>
      <c r="N66">
        <v>32</v>
      </c>
      <c r="O66" t="s">
        <v>34</v>
      </c>
      <c r="P66" t="s">
        <v>176</v>
      </c>
      <c r="Q66">
        <v>86.45</v>
      </c>
      <c r="R66">
        <v>1</v>
      </c>
      <c r="S66">
        <v>160</v>
      </c>
      <c r="T66">
        <v>70</v>
      </c>
      <c r="U66">
        <v>27.34</v>
      </c>
      <c r="V66">
        <f>(1+1+1+1)/4</f>
        <v>1</v>
      </c>
      <c r="X66">
        <v>1</v>
      </c>
    </row>
    <row r="68" spans="1:24" x14ac:dyDescent="0.45">
      <c r="A68">
        <v>33</v>
      </c>
      <c r="B68" t="s">
        <v>35</v>
      </c>
      <c r="C68" t="s">
        <v>202</v>
      </c>
      <c r="D68">
        <v>80.11</v>
      </c>
      <c r="E68">
        <v>1</v>
      </c>
      <c r="F68">
        <v>176</v>
      </c>
      <c r="G68">
        <v>61</v>
      </c>
      <c r="H68">
        <v>19.690000000000001</v>
      </c>
      <c r="I68">
        <f>(4+3+1+2)/4</f>
        <v>2.5</v>
      </c>
      <c r="J68" t="s">
        <v>295</v>
      </c>
      <c r="K68" t="s">
        <v>388</v>
      </c>
      <c r="M68">
        <v>0</v>
      </c>
      <c r="N68">
        <v>33</v>
      </c>
      <c r="O68" t="s">
        <v>35</v>
      </c>
      <c r="P68" t="s">
        <v>202</v>
      </c>
      <c r="Q68">
        <v>81.2</v>
      </c>
      <c r="R68">
        <v>1</v>
      </c>
      <c r="S68">
        <v>176</v>
      </c>
      <c r="T68">
        <v>61</v>
      </c>
      <c r="U68">
        <v>19.690000000000001</v>
      </c>
      <c r="V68">
        <f>(0+0+0+0)/4</f>
        <v>0</v>
      </c>
      <c r="X68">
        <v>0</v>
      </c>
    </row>
    <row r="70" spans="1:24" x14ac:dyDescent="0.45">
      <c r="A70">
        <v>34</v>
      </c>
      <c r="B70" t="s">
        <v>36</v>
      </c>
      <c r="C70" t="s">
        <v>203</v>
      </c>
      <c r="D70">
        <v>56.34</v>
      </c>
      <c r="E70">
        <v>0</v>
      </c>
      <c r="F70">
        <v>164</v>
      </c>
      <c r="G70">
        <v>80</v>
      </c>
      <c r="H70">
        <v>29.74</v>
      </c>
      <c r="I70">
        <f>(3+3+3+5)/4</f>
        <v>3.5</v>
      </c>
      <c r="J70" t="s">
        <v>318</v>
      </c>
      <c r="K70" t="s">
        <v>388</v>
      </c>
      <c r="M70">
        <v>0</v>
      </c>
      <c r="N70">
        <v>34</v>
      </c>
      <c r="O70" t="s">
        <v>36</v>
      </c>
      <c r="P70" t="s">
        <v>203</v>
      </c>
      <c r="Q70">
        <v>57.43</v>
      </c>
      <c r="R70">
        <v>0</v>
      </c>
      <c r="S70">
        <v>164</v>
      </c>
      <c r="T70">
        <v>80</v>
      </c>
      <c r="U70">
        <v>29.74</v>
      </c>
      <c r="V70">
        <f>(3+3+2+2)/4</f>
        <v>2.5</v>
      </c>
      <c r="X70">
        <v>0</v>
      </c>
    </row>
    <row r="72" spans="1:24" x14ac:dyDescent="0.45">
      <c r="A72">
        <v>35</v>
      </c>
      <c r="B72" t="s">
        <v>37</v>
      </c>
      <c r="C72" t="s">
        <v>204</v>
      </c>
      <c r="D72">
        <v>84.7</v>
      </c>
      <c r="E72">
        <v>1</v>
      </c>
      <c r="F72">
        <v>162</v>
      </c>
      <c r="G72">
        <v>67</v>
      </c>
      <c r="H72">
        <v>25.53</v>
      </c>
      <c r="I72" s="2">
        <f>(3+6+2+4)/4</f>
        <v>3.75</v>
      </c>
      <c r="J72" t="s">
        <v>313</v>
      </c>
      <c r="K72" t="s">
        <v>401</v>
      </c>
      <c r="M72">
        <v>1</v>
      </c>
      <c r="N72">
        <v>35</v>
      </c>
      <c r="O72" t="s">
        <v>37</v>
      </c>
      <c r="P72" t="s">
        <v>204</v>
      </c>
      <c r="Q72">
        <v>86.21</v>
      </c>
      <c r="R72">
        <v>1</v>
      </c>
      <c r="S72">
        <v>162</v>
      </c>
      <c r="T72">
        <v>60</v>
      </c>
      <c r="U72">
        <v>22.86</v>
      </c>
      <c r="V72">
        <f>(5+5+6+3)/4</f>
        <v>4.75</v>
      </c>
      <c r="X72">
        <v>1</v>
      </c>
    </row>
    <row r="74" spans="1:24" x14ac:dyDescent="0.45">
      <c r="A74">
        <v>36</v>
      </c>
      <c r="B74" t="s">
        <v>38</v>
      </c>
      <c r="C74" t="s">
        <v>205</v>
      </c>
      <c r="D74">
        <v>61.91</v>
      </c>
      <c r="E74">
        <v>1</v>
      </c>
      <c r="F74">
        <v>159</v>
      </c>
      <c r="G74">
        <v>100</v>
      </c>
      <c r="H74">
        <v>39.56</v>
      </c>
      <c r="I74" s="2">
        <f>(3+4.5+1+4)/4</f>
        <v>3.125</v>
      </c>
      <c r="J74" t="s">
        <v>319</v>
      </c>
      <c r="K74" t="s">
        <v>402</v>
      </c>
      <c r="M74">
        <v>1</v>
      </c>
      <c r="N74">
        <v>36</v>
      </c>
      <c r="O74" t="s">
        <v>38</v>
      </c>
      <c r="P74" t="s">
        <v>205</v>
      </c>
      <c r="Q74">
        <v>63.06</v>
      </c>
      <c r="R74">
        <v>1</v>
      </c>
      <c r="S74">
        <v>159</v>
      </c>
      <c r="T74">
        <v>103</v>
      </c>
      <c r="U74">
        <v>40.74</v>
      </c>
      <c r="V74">
        <f>(0+0+1+0)/4</f>
        <v>0.25</v>
      </c>
      <c r="X74">
        <v>1</v>
      </c>
    </row>
    <row r="76" spans="1:24" x14ac:dyDescent="0.45">
      <c r="A76">
        <v>37</v>
      </c>
      <c r="B76" t="s">
        <v>39</v>
      </c>
      <c r="C76" t="s">
        <v>206</v>
      </c>
      <c r="D76">
        <v>74.680000000000007</v>
      </c>
      <c r="E76">
        <v>0</v>
      </c>
      <c r="F76">
        <v>168</v>
      </c>
      <c r="G76">
        <v>63</v>
      </c>
      <c r="H76">
        <v>22.32</v>
      </c>
      <c r="I76">
        <f>(0+0+0+0)/4</f>
        <v>0</v>
      </c>
      <c r="J76" t="s">
        <v>320</v>
      </c>
      <c r="K76" t="s">
        <v>388</v>
      </c>
      <c r="M76">
        <v>1</v>
      </c>
      <c r="N76">
        <v>37</v>
      </c>
      <c r="O76" t="s">
        <v>39</v>
      </c>
      <c r="P76" t="s">
        <v>206</v>
      </c>
      <c r="Q76">
        <v>75.739999999999995</v>
      </c>
      <c r="R76">
        <v>0</v>
      </c>
      <c r="S76">
        <v>168</v>
      </c>
      <c r="T76">
        <v>63</v>
      </c>
      <c r="U76">
        <v>22.32</v>
      </c>
      <c r="V76">
        <f>(0+0+0+0)/4</f>
        <v>0</v>
      </c>
      <c r="X76">
        <v>1</v>
      </c>
    </row>
    <row r="78" spans="1:24" x14ac:dyDescent="0.45">
      <c r="A78">
        <v>38</v>
      </c>
      <c r="B78" t="s">
        <v>40</v>
      </c>
      <c r="C78" t="s">
        <v>207</v>
      </c>
      <c r="D78">
        <v>73.61</v>
      </c>
      <c r="E78">
        <v>1</v>
      </c>
      <c r="F78">
        <v>156</v>
      </c>
      <c r="G78">
        <v>91</v>
      </c>
      <c r="H78">
        <v>37.39</v>
      </c>
      <c r="I78">
        <f>(0+1+1+0)/4</f>
        <v>0.5</v>
      </c>
      <c r="J78" t="s">
        <v>295</v>
      </c>
      <c r="K78" t="s">
        <v>403</v>
      </c>
      <c r="M78">
        <v>0</v>
      </c>
      <c r="N78">
        <v>38</v>
      </c>
      <c r="O78" t="s">
        <v>40</v>
      </c>
      <c r="P78" t="s">
        <v>207</v>
      </c>
      <c r="Q78">
        <v>74.819999999999993</v>
      </c>
      <c r="R78">
        <v>1</v>
      </c>
      <c r="S78">
        <v>156</v>
      </c>
      <c r="T78">
        <v>91</v>
      </c>
      <c r="U78">
        <v>37.39</v>
      </c>
      <c r="V78">
        <f>(0+2+0+0)/4</f>
        <v>0.5</v>
      </c>
      <c r="X78">
        <v>0</v>
      </c>
    </row>
    <row r="80" spans="1:24" x14ac:dyDescent="0.45">
      <c r="A80">
        <v>39</v>
      </c>
      <c r="B80" t="s">
        <v>41</v>
      </c>
      <c r="C80" t="s">
        <v>176</v>
      </c>
      <c r="D80">
        <v>81.62</v>
      </c>
      <c r="E80">
        <v>0</v>
      </c>
      <c r="F80">
        <v>164</v>
      </c>
      <c r="G80">
        <v>88</v>
      </c>
      <c r="H80">
        <v>32.72</v>
      </c>
      <c r="I80">
        <f>(4+7+6+4)/4</f>
        <v>5.25</v>
      </c>
      <c r="J80" t="s">
        <v>321</v>
      </c>
      <c r="K80" t="s">
        <v>404</v>
      </c>
      <c r="M80">
        <v>0</v>
      </c>
      <c r="N80">
        <v>39</v>
      </c>
      <c r="O80" t="s">
        <v>41</v>
      </c>
      <c r="P80" t="s">
        <v>176</v>
      </c>
      <c r="Q80">
        <v>82.93</v>
      </c>
      <c r="R80">
        <v>0</v>
      </c>
      <c r="S80">
        <v>164</v>
      </c>
      <c r="T80">
        <v>88</v>
      </c>
      <c r="U80">
        <v>32.72</v>
      </c>
      <c r="V80">
        <f>(0+0+0+0)/4</f>
        <v>0</v>
      </c>
      <c r="X80">
        <v>0</v>
      </c>
    </row>
    <row r="82" spans="1:24" x14ac:dyDescent="0.45">
      <c r="A82">
        <v>40</v>
      </c>
      <c r="B82" t="s">
        <v>42</v>
      </c>
      <c r="C82" t="s">
        <v>208</v>
      </c>
      <c r="D82">
        <v>74.94</v>
      </c>
      <c r="E82">
        <v>0</v>
      </c>
      <c r="F82">
        <v>180</v>
      </c>
      <c r="G82">
        <v>85</v>
      </c>
      <c r="H82">
        <v>26.23</v>
      </c>
      <c r="I82">
        <f>(0+0+0+0)/4</f>
        <v>0</v>
      </c>
      <c r="J82" t="s">
        <v>303</v>
      </c>
      <c r="K82" t="s">
        <v>405</v>
      </c>
      <c r="M82">
        <v>1</v>
      </c>
      <c r="N82">
        <v>40</v>
      </c>
      <c r="O82" t="s">
        <v>42</v>
      </c>
      <c r="P82" t="s">
        <v>208</v>
      </c>
      <c r="Q82">
        <v>76.03</v>
      </c>
      <c r="R82">
        <v>0</v>
      </c>
      <c r="S82">
        <v>180</v>
      </c>
      <c r="T82">
        <v>85</v>
      </c>
      <c r="U82">
        <v>26.23</v>
      </c>
      <c r="V82">
        <f>(0+0+0+0)/4</f>
        <v>0</v>
      </c>
      <c r="X82">
        <v>1</v>
      </c>
    </row>
    <row r="84" spans="1:24" x14ac:dyDescent="0.45">
      <c r="A84">
        <v>41</v>
      </c>
      <c r="B84" t="s">
        <v>43</v>
      </c>
      <c r="C84" t="s">
        <v>209</v>
      </c>
      <c r="D84">
        <v>60.09</v>
      </c>
      <c r="E84">
        <v>0</v>
      </c>
      <c r="F84">
        <v>172</v>
      </c>
      <c r="G84">
        <v>85</v>
      </c>
      <c r="H84">
        <v>28.73</v>
      </c>
      <c r="I84">
        <f>(3+5+5+2)/4</f>
        <v>3.75</v>
      </c>
      <c r="J84" t="s">
        <v>322</v>
      </c>
      <c r="K84" t="s">
        <v>406</v>
      </c>
      <c r="M84">
        <v>0</v>
      </c>
      <c r="N84">
        <v>41</v>
      </c>
      <c r="O84" t="s">
        <v>43</v>
      </c>
      <c r="P84" t="s">
        <v>209</v>
      </c>
      <c r="Q84">
        <v>61.07</v>
      </c>
      <c r="R84">
        <v>0</v>
      </c>
      <c r="S84">
        <v>172</v>
      </c>
      <c r="T84">
        <v>85</v>
      </c>
      <c r="U84">
        <v>28.73</v>
      </c>
      <c r="V84">
        <f>(0+0+0+0)/4</f>
        <v>0</v>
      </c>
      <c r="X84">
        <v>0</v>
      </c>
    </row>
    <row r="86" spans="1:24" x14ac:dyDescent="0.45">
      <c r="A86">
        <v>42</v>
      </c>
      <c r="B86" t="s">
        <v>44</v>
      </c>
      <c r="C86" t="s">
        <v>210</v>
      </c>
      <c r="D86">
        <v>74.22</v>
      </c>
      <c r="E86">
        <v>0</v>
      </c>
      <c r="F86">
        <v>172</v>
      </c>
      <c r="G86">
        <v>82</v>
      </c>
      <c r="H86">
        <v>27.72</v>
      </c>
      <c r="I86">
        <f>(4+3+2+5)/4</f>
        <v>3.5</v>
      </c>
      <c r="J86" t="s">
        <v>323</v>
      </c>
      <c r="K86" t="s">
        <v>388</v>
      </c>
      <c r="M86">
        <v>0</v>
      </c>
      <c r="N86">
        <v>42</v>
      </c>
      <c r="O86" t="s">
        <v>44</v>
      </c>
      <c r="P86" t="s">
        <v>210</v>
      </c>
      <c r="Q86">
        <v>75.27</v>
      </c>
      <c r="R86">
        <v>0</v>
      </c>
      <c r="S86">
        <v>172</v>
      </c>
      <c r="T86">
        <v>80</v>
      </c>
      <c r="U86">
        <v>27.04</v>
      </c>
      <c r="V86">
        <f>(0+0+0+4)/4</f>
        <v>1</v>
      </c>
      <c r="X86">
        <v>0</v>
      </c>
    </row>
    <row r="88" spans="1:24" x14ac:dyDescent="0.45">
      <c r="A88">
        <v>43</v>
      </c>
      <c r="B88" t="s">
        <v>45</v>
      </c>
      <c r="C88" t="s">
        <v>211</v>
      </c>
      <c r="D88">
        <v>63.67</v>
      </c>
      <c r="E88">
        <v>0</v>
      </c>
      <c r="F88">
        <v>172</v>
      </c>
      <c r="G88">
        <v>115</v>
      </c>
      <c r="H88">
        <v>38.869999999999997</v>
      </c>
      <c r="I88">
        <f>(7+8+0+0)/4</f>
        <v>3.75</v>
      </c>
      <c r="J88" t="s">
        <v>297</v>
      </c>
      <c r="K88" t="s">
        <v>407</v>
      </c>
      <c r="M88">
        <v>0</v>
      </c>
      <c r="N88">
        <v>43</v>
      </c>
      <c r="O88" t="s">
        <v>45</v>
      </c>
      <c r="P88" t="s">
        <v>211</v>
      </c>
      <c r="Q88">
        <v>64.72</v>
      </c>
      <c r="R88">
        <v>0</v>
      </c>
      <c r="S88">
        <v>172</v>
      </c>
      <c r="T88">
        <v>115</v>
      </c>
      <c r="U88">
        <v>38.869999999999997</v>
      </c>
      <c r="V88">
        <f>(1+0+0+0)/4</f>
        <v>0.25</v>
      </c>
      <c r="X88">
        <v>0</v>
      </c>
    </row>
    <row r="90" spans="1:24" x14ac:dyDescent="0.45">
      <c r="A90">
        <v>44</v>
      </c>
      <c r="B90" t="s">
        <v>46</v>
      </c>
      <c r="C90" t="s">
        <v>212</v>
      </c>
      <c r="D90">
        <v>62.16</v>
      </c>
      <c r="E90">
        <v>0</v>
      </c>
      <c r="F90">
        <v>178</v>
      </c>
      <c r="G90">
        <v>95</v>
      </c>
      <c r="H90">
        <v>29.98</v>
      </c>
      <c r="I90">
        <f>(4+4+0+1)/4</f>
        <v>2.25</v>
      </c>
      <c r="J90" t="s">
        <v>324</v>
      </c>
      <c r="K90" t="s">
        <v>388</v>
      </c>
      <c r="M90">
        <v>0</v>
      </c>
      <c r="N90">
        <v>44</v>
      </c>
      <c r="O90" t="s">
        <v>46</v>
      </c>
      <c r="P90" t="s">
        <v>212</v>
      </c>
      <c r="Q90">
        <v>63.27</v>
      </c>
      <c r="R90">
        <v>0</v>
      </c>
      <c r="S90">
        <v>178</v>
      </c>
      <c r="T90">
        <v>95</v>
      </c>
      <c r="U90">
        <v>29.98</v>
      </c>
      <c r="V90">
        <f>(2+3+1+2)/4</f>
        <v>2</v>
      </c>
      <c r="X90">
        <v>0</v>
      </c>
    </row>
    <row r="92" spans="1:24" x14ac:dyDescent="0.45">
      <c r="A92">
        <v>45</v>
      </c>
      <c r="B92" t="s">
        <v>47</v>
      </c>
      <c r="C92" t="s">
        <v>213</v>
      </c>
      <c r="D92">
        <v>62.42</v>
      </c>
      <c r="E92">
        <v>1</v>
      </c>
      <c r="F92">
        <v>162</v>
      </c>
      <c r="G92">
        <v>73</v>
      </c>
      <c r="H92">
        <v>27.82</v>
      </c>
      <c r="I92">
        <f>(6+6+6.5+6)/4</f>
        <v>6.125</v>
      </c>
      <c r="J92" t="s">
        <v>325</v>
      </c>
      <c r="K92" t="s">
        <v>388</v>
      </c>
      <c r="M92">
        <v>0</v>
      </c>
      <c r="N92">
        <v>45</v>
      </c>
      <c r="O92" t="s">
        <v>47</v>
      </c>
      <c r="P92" t="s">
        <v>213</v>
      </c>
      <c r="Q92">
        <v>63.5</v>
      </c>
      <c r="R92">
        <v>1</v>
      </c>
      <c r="S92">
        <v>162</v>
      </c>
      <c r="T92">
        <v>73</v>
      </c>
      <c r="U92">
        <v>27.82</v>
      </c>
      <c r="V92">
        <f>(0+0+0+0)/4</f>
        <v>0</v>
      </c>
      <c r="X92">
        <v>0</v>
      </c>
    </row>
    <row r="94" spans="1:24" x14ac:dyDescent="0.45">
      <c r="A94">
        <v>46</v>
      </c>
      <c r="B94" t="s">
        <v>48</v>
      </c>
      <c r="C94" t="s">
        <v>214</v>
      </c>
      <c r="D94">
        <v>76.83</v>
      </c>
      <c r="E94">
        <v>0</v>
      </c>
      <c r="F94">
        <v>180</v>
      </c>
      <c r="G94">
        <v>93</v>
      </c>
      <c r="H94">
        <v>28.7</v>
      </c>
      <c r="I94">
        <f>(4+3.5+6+4)/4</f>
        <v>4.375</v>
      </c>
      <c r="J94" t="s">
        <v>326</v>
      </c>
      <c r="K94" t="s">
        <v>408</v>
      </c>
      <c r="M94">
        <v>0</v>
      </c>
      <c r="N94">
        <v>46</v>
      </c>
      <c r="O94" t="s">
        <v>48</v>
      </c>
      <c r="P94" t="s">
        <v>214</v>
      </c>
      <c r="Q94">
        <v>77.89</v>
      </c>
      <c r="R94">
        <v>0</v>
      </c>
      <c r="S94">
        <v>180</v>
      </c>
      <c r="T94">
        <v>92</v>
      </c>
      <c r="U94">
        <v>28.4</v>
      </c>
      <c r="V94">
        <f>(0+0+0+0)/4</f>
        <v>0</v>
      </c>
      <c r="X94">
        <v>0</v>
      </c>
    </row>
    <row r="96" spans="1:24" x14ac:dyDescent="0.45">
      <c r="A96">
        <v>47</v>
      </c>
      <c r="B96" t="s">
        <v>49</v>
      </c>
      <c r="C96" t="s">
        <v>186</v>
      </c>
      <c r="D96">
        <v>81.72</v>
      </c>
      <c r="E96">
        <v>1</v>
      </c>
      <c r="F96">
        <v>158</v>
      </c>
      <c r="G96">
        <v>60</v>
      </c>
      <c r="H96">
        <v>24.03</v>
      </c>
      <c r="I96">
        <f>(8+8+8+5)/4</f>
        <v>7.25</v>
      </c>
      <c r="J96" t="s">
        <v>327</v>
      </c>
      <c r="K96" t="s">
        <v>409</v>
      </c>
      <c r="M96">
        <v>0</v>
      </c>
      <c r="N96">
        <v>47</v>
      </c>
      <c r="O96" t="s">
        <v>49</v>
      </c>
      <c r="P96" t="s">
        <v>186</v>
      </c>
      <c r="Q96">
        <v>82.85</v>
      </c>
      <c r="R96">
        <v>1</v>
      </c>
      <c r="S96">
        <v>158</v>
      </c>
      <c r="T96">
        <v>56</v>
      </c>
      <c r="U96">
        <v>22.43</v>
      </c>
      <c r="V96">
        <f>(1+1+1+1)/4</f>
        <v>1</v>
      </c>
      <c r="X96">
        <v>0</v>
      </c>
    </row>
    <row r="98" spans="1:24" x14ac:dyDescent="0.45">
      <c r="A98">
        <v>48</v>
      </c>
      <c r="B98" t="s">
        <v>50</v>
      </c>
      <c r="C98" t="s">
        <v>215</v>
      </c>
      <c r="D98">
        <v>76.760000000000005</v>
      </c>
      <c r="E98">
        <v>1</v>
      </c>
      <c r="F98">
        <v>151</v>
      </c>
      <c r="G98">
        <v>75</v>
      </c>
      <c r="H98">
        <v>32.89</v>
      </c>
      <c r="I98">
        <f>(7+7+8+7)/4</f>
        <v>7.25</v>
      </c>
      <c r="J98" t="s">
        <v>328</v>
      </c>
      <c r="K98" t="s">
        <v>410</v>
      </c>
      <c r="M98">
        <v>0</v>
      </c>
      <c r="N98">
        <v>48</v>
      </c>
      <c r="O98" t="s">
        <v>50</v>
      </c>
      <c r="P98" t="s">
        <v>215</v>
      </c>
      <c r="Q98">
        <v>77.91</v>
      </c>
      <c r="R98">
        <v>1</v>
      </c>
      <c r="S98">
        <v>151</v>
      </c>
      <c r="T98">
        <v>75</v>
      </c>
      <c r="U98">
        <v>32.89</v>
      </c>
      <c r="V98">
        <f>(1+1+1+1)/4</f>
        <v>1</v>
      </c>
      <c r="X98">
        <v>0</v>
      </c>
    </row>
    <row r="100" spans="1:24" x14ac:dyDescent="0.45">
      <c r="A100">
        <v>49</v>
      </c>
      <c r="B100" t="s">
        <v>51</v>
      </c>
      <c r="C100" t="s">
        <v>216</v>
      </c>
      <c r="D100">
        <v>70.98</v>
      </c>
      <c r="E100">
        <v>1</v>
      </c>
      <c r="F100">
        <v>158</v>
      </c>
      <c r="G100">
        <v>46</v>
      </c>
      <c r="H100">
        <v>18.43</v>
      </c>
      <c r="I100">
        <f>(5+5+0+0.5)/4</f>
        <v>2.625</v>
      </c>
      <c r="J100" t="s">
        <v>329</v>
      </c>
      <c r="K100" t="s">
        <v>388</v>
      </c>
      <c r="M100">
        <v>0</v>
      </c>
      <c r="N100">
        <v>49</v>
      </c>
      <c r="O100" t="s">
        <v>51</v>
      </c>
      <c r="P100" t="s">
        <v>216</v>
      </c>
      <c r="Q100">
        <v>72.02</v>
      </c>
      <c r="R100">
        <v>1</v>
      </c>
      <c r="S100">
        <v>158</v>
      </c>
      <c r="T100">
        <v>46</v>
      </c>
      <c r="U100">
        <v>18.43</v>
      </c>
      <c r="V100">
        <f>(0+0+0+0)/4</f>
        <v>0</v>
      </c>
      <c r="X100">
        <v>0</v>
      </c>
    </row>
    <row r="102" spans="1:24" x14ac:dyDescent="0.45">
      <c r="A102">
        <v>50</v>
      </c>
      <c r="B102" t="s">
        <v>30</v>
      </c>
      <c r="C102" t="s">
        <v>198</v>
      </c>
      <c r="D102">
        <v>82.64</v>
      </c>
      <c r="E102">
        <v>1</v>
      </c>
      <c r="F102">
        <v>153</v>
      </c>
      <c r="G102">
        <v>70</v>
      </c>
      <c r="H102">
        <v>29.9</v>
      </c>
      <c r="I102">
        <f>(4+5+6+6)/4</f>
        <v>5.25</v>
      </c>
      <c r="J102" t="s">
        <v>330</v>
      </c>
      <c r="K102" t="s">
        <v>411</v>
      </c>
      <c r="M102">
        <v>0</v>
      </c>
      <c r="N102">
        <v>50</v>
      </c>
      <c r="O102" t="s">
        <v>30</v>
      </c>
      <c r="P102" t="s">
        <v>198</v>
      </c>
      <c r="Q102">
        <v>83.7</v>
      </c>
      <c r="R102">
        <v>1</v>
      </c>
      <c r="S102">
        <v>153</v>
      </c>
      <c r="T102">
        <v>74</v>
      </c>
      <c r="U102">
        <v>31.61</v>
      </c>
      <c r="V102">
        <f>(0+0+0+0)/4</f>
        <v>0</v>
      </c>
      <c r="X102">
        <v>0</v>
      </c>
    </row>
    <row r="104" spans="1:24" x14ac:dyDescent="0.45">
      <c r="A104">
        <v>51</v>
      </c>
      <c r="B104" t="s">
        <v>52</v>
      </c>
      <c r="C104" t="s">
        <v>217</v>
      </c>
      <c r="D104">
        <v>72.22</v>
      </c>
      <c r="E104">
        <v>1</v>
      </c>
      <c r="F104">
        <v>158</v>
      </c>
      <c r="G104">
        <v>72</v>
      </c>
      <c r="H104">
        <v>28.84</v>
      </c>
      <c r="I104">
        <f>(4+5+3+3)/4</f>
        <v>3.75</v>
      </c>
      <c r="J104" t="s">
        <v>313</v>
      </c>
      <c r="K104" t="s">
        <v>412</v>
      </c>
      <c r="M104">
        <v>1</v>
      </c>
      <c r="N104">
        <v>51</v>
      </c>
      <c r="O104" t="s">
        <v>52</v>
      </c>
      <c r="P104" t="s">
        <v>217</v>
      </c>
      <c r="Q104">
        <v>73.430000000000007</v>
      </c>
      <c r="R104">
        <v>1</v>
      </c>
      <c r="S104">
        <v>158</v>
      </c>
      <c r="T104">
        <v>71</v>
      </c>
      <c r="U104">
        <v>28.44</v>
      </c>
      <c r="V104">
        <f>(0+0+0+0)/4</f>
        <v>0</v>
      </c>
      <c r="X104">
        <v>1</v>
      </c>
    </row>
    <row r="106" spans="1:24" x14ac:dyDescent="0.45">
      <c r="A106">
        <v>52</v>
      </c>
      <c r="B106" t="s">
        <v>53</v>
      </c>
      <c r="C106" t="s">
        <v>182</v>
      </c>
      <c r="D106">
        <v>81.680000000000007</v>
      </c>
      <c r="E106">
        <v>1</v>
      </c>
      <c r="F106">
        <v>150</v>
      </c>
      <c r="G106">
        <v>58</v>
      </c>
      <c r="H106">
        <v>25.78</v>
      </c>
      <c r="I106">
        <f>(4+5+5+5)/4</f>
        <v>4.75</v>
      </c>
      <c r="J106" t="s">
        <v>331</v>
      </c>
      <c r="K106" t="s">
        <v>388</v>
      </c>
      <c r="M106">
        <v>1</v>
      </c>
      <c r="N106">
        <v>52</v>
      </c>
      <c r="O106" t="s">
        <v>53</v>
      </c>
      <c r="P106" t="s">
        <v>182</v>
      </c>
      <c r="Q106">
        <v>82.83</v>
      </c>
      <c r="R106">
        <v>1</v>
      </c>
      <c r="S106">
        <v>150</v>
      </c>
      <c r="T106">
        <v>60</v>
      </c>
      <c r="U106">
        <v>26.67</v>
      </c>
      <c r="V106">
        <f>(2+2+0+0)/4</f>
        <v>1</v>
      </c>
      <c r="X106">
        <v>1</v>
      </c>
    </row>
    <row r="108" spans="1:24" x14ac:dyDescent="0.45">
      <c r="A108">
        <v>53</v>
      </c>
      <c r="B108" t="s">
        <v>54</v>
      </c>
      <c r="C108" t="s">
        <v>218</v>
      </c>
      <c r="D108">
        <v>61.15</v>
      </c>
      <c r="E108">
        <v>1</v>
      </c>
      <c r="F108">
        <v>168</v>
      </c>
      <c r="G108">
        <v>65</v>
      </c>
      <c r="H108">
        <v>23.03</v>
      </c>
      <c r="I108">
        <f>(5+3+3+1)/4</f>
        <v>3</v>
      </c>
      <c r="J108" t="s">
        <v>332</v>
      </c>
      <c r="K108" t="s">
        <v>413</v>
      </c>
      <c r="M108">
        <v>1</v>
      </c>
      <c r="N108">
        <v>53</v>
      </c>
      <c r="O108" t="s">
        <v>54</v>
      </c>
      <c r="P108" t="s">
        <v>218</v>
      </c>
      <c r="Q108">
        <v>62.21</v>
      </c>
      <c r="R108">
        <v>1</v>
      </c>
      <c r="S108">
        <v>168</v>
      </c>
      <c r="T108">
        <v>65</v>
      </c>
      <c r="U108">
        <v>23.03</v>
      </c>
      <c r="V108">
        <f>(0+0+0+0)/4</f>
        <v>0</v>
      </c>
      <c r="X108">
        <v>1</v>
      </c>
    </row>
    <row r="110" spans="1:24" x14ac:dyDescent="0.45">
      <c r="A110">
        <v>54</v>
      </c>
      <c r="B110" t="s">
        <v>55</v>
      </c>
      <c r="C110" t="s">
        <v>219</v>
      </c>
      <c r="D110">
        <v>56.41</v>
      </c>
      <c r="E110">
        <v>1</v>
      </c>
      <c r="F110">
        <v>155</v>
      </c>
      <c r="G110">
        <v>89</v>
      </c>
      <c r="H110">
        <v>37.04</v>
      </c>
      <c r="I110">
        <f>(8.5+8.5+9+9)/4</f>
        <v>8.75</v>
      </c>
      <c r="J110" t="s">
        <v>333</v>
      </c>
      <c r="K110" t="s">
        <v>414</v>
      </c>
      <c r="M110">
        <v>1</v>
      </c>
      <c r="N110">
        <v>54</v>
      </c>
      <c r="O110" t="s">
        <v>55</v>
      </c>
      <c r="P110" t="s">
        <v>219</v>
      </c>
      <c r="Q110">
        <v>57.51</v>
      </c>
      <c r="R110">
        <v>1</v>
      </c>
      <c r="S110">
        <v>155</v>
      </c>
      <c r="T110">
        <v>104</v>
      </c>
      <c r="U110">
        <v>43.29</v>
      </c>
      <c r="V110">
        <f>(5+5+5+5)/4</f>
        <v>5</v>
      </c>
      <c r="X110">
        <v>1</v>
      </c>
    </row>
    <row r="112" spans="1:24" x14ac:dyDescent="0.45">
      <c r="A112">
        <v>55</v>
      </c>
      <c r="B112" t="s">
        <v>56</v>
      </c>
      <c r="C112" t="s">
        <v>220</v>
      </c>
      <c r="D112">
        <v>91.33</v>
      </c>
      <c r="E112">
        <v>1</v>
      </c>
      <c r="F112">
        <v>168</v>
      </c>
      <c r="G112">
        <v>65</v>
      </c>
      <c r="H112">
        <v>23.03</v>
      </c>
      <c r="I112">
        <f>(9+9.5+9.5+9.5)/4</f>
        <v>9.375</v>
      </c>
      <c r="J112" t="s">
        <v>334</v>
      </c>
      <c r="K112" t="s">
        <v>388</v>
      </c>
      <c r="M112">
        <v>0</v>
      </c>
      <c r="N112">
        <v>55</v>
      </c>
      <c r="O112" t="s">
        <v>56</v>
      </c>
      <c r="P112" t="s">
        <v>220</v>
      </c>
      <c r="Q112">
        <v>92.43</v>
      </c>
      <c r="R112">
        <v>1</v>
      </c>
      <c r="S112">
        <v>168</v>
      </c>
      <c r="T112">
        <v>65</v>
      </c>
      <c r="U112">
        <v>23.03</v>
      </c>
      <c r="V112">
        <f>(1+1+1+1)/4</f>
        <v>1</v>
      </c>
      <c r="X112">
        <v>0</v>
      </c>
    </row>
    <row r="114" spans="1:24" x14ac:dyDescent="0.45">
      <c r="A114">
        <v>56</v>
      </c>
      <c r="B114" t="s">
        <v>57</v>
      </c>
      <c r="C114" t="s">
        <v>221</v>
      </c>
      <c r="D114">
        <v>60.58</v>
      </c>
      <c r="E114">
        <v>0</v>
      </c>
      <c r="F114">
        <v>166</v>
      </c>
      <c r="G114">
        <v>100</v>
      </c>
      <c r="H114">
        <v>36.29</v>
      </c>
      <c r="I114">
        <f>(3+3.5+3+3)/4</f>
        <v>3.125</v>
      </c>
      <c r="J114" t="s">
        <v>335</v>
      </c>
      <c r="K114" t="s">
        <v>415</v>
      </c>
      <c r="M114">
        <v>1</v>
      </c>
      <c r="N114">
        <v>56</v>
      </c>
      <c r="O114" t="s">
        <v>57</v>
      </c>
      <c r="P114" t="s">
        <v>221</v>
      </c>
      <c r="Q114">
        <v>61.66</v>
      </c>
      <c r="R114">
        <v>0</v>
      </c>
      <c r="S114">
        <v>166</v>
      </c>
      <c r="T114">
        <v>100</v>
      </c>
      <c r="U114">
        <v>36.29</v>
      </c>
      <c r="V114">
        <f>(0+0+0+0)/4</f>
        <v>0</v>
      </c>
      <c r="X114">
        <v>1</v>
      </c>
    </row>
    <row r="116" spans="1:24" x14ac:dyDescent="0.45">
      <c r="A116">
        <v>57</v>
      </c>
      <c r="B116" t="s">
        <v>58</v>
      </c>
      <c r="C116" t="s">
        <v>222</v>
      </c>
      <c r="D116">
        <v>86.72</v>
      </c>
      <c r="E116">
        <v>1</v>
      </c>
      <c r="F116">
        <v>152</v>
      </c>
      <c r="G116">
        <v>65</v>
      </c>
      <c r="H116">
        <v>28.13</v>
      </c>
      <c r="I116">
        <f>(8+9.5+6.5+6)/4</f>
        <v>7.5</v>
      </c>
      <c r="J116" t="s">
        <v>336</v>
      </c>
      <c r="K116" t="s">
        <v>388</v>
      </c>
      <c r="M116">
        <v>0</v>
      </c>
      <c r="N116">
        <v>57</v>
      </c>
      <c r="O116" t="s">
        <v>58</v>
      </c>
      <c r="P116" t="s">
        <v>222</v>
      </c>
      <c r="Q116">
        <v>87.78</v>
      </c>
      <c r="R116">
        <v>1</v>
      </c>
      <c r="S116">
        <v>152</v>
      </c>
      <c r="T116">
        <v>61</v>
      </c>
      <c r="U116">
        <v>26.4</v>
      </c>
      <c r="V116">
        <f>(5+7+2+5)/4</f>
        <v>4.75</v>
      </c>
      <c r="X116">
        <v>0</v>
      </c>
    </row>
    <row r="118" spans="1:24" x14ac:dyDescent="0.45">
      <c r="A118">
        <v>58</v>
      </c>
      <c r="B118" t="s">
        <v>59</v>
      </c>
      <c r="C118" t="s">
        <v>223</v>
      </c>
      <c r="D118">
        <v>60.43</v>
      </c>
      <c r="E118">
        <v>1</v>
      </c>
      <c r="F118">
        <v>161</v>
      </c>
      <c r="G118">
        <v>105</v>
      </c>
      <c r="H118">
        <v>40.51</v>
      </c>
      <c r="I118">
        <f>(7+7+7+7)/4</f>
        <v>7</v>
      </c>
      <c r="J118" t="s">
        <v>337</v>
      </c>
      <c r="K118" t="s">
        <v>388</v>
      </c>
      <c r="M118">
        <v>0</v>
      </c>
      <c r="N118">
        <v>58</v>
      </c>
      <c r="O118" t="s">
        <v>59</v>
      </c>
      <c r="P118" t="s">
        <v>223</v>
      </c>
      <c r="Q118">
        <v>61.75</v>
      </c>
      <c r="R118">
        <v>1</v>
      </c>
      <c r="S118">
        <v>165</v>
      </c>
      <c r="T118">
        <v>105</v>
      </c>
      <c r="U118">
        <v>38.57</v>
      </c>
      <c r="V118">
        <f>(0+0+0+0)/4</f>
        <v>0</v>
      </c>
      <c r="X118">
        <v>0</v>
      </c>
    </row>
    <row r="120" spans="1:24" x14ac:dyDescent="0.45">
      <c r="A120">
        <v>59</v>
      </c>
      <c r="B120" t="s">
        <v>60</v>
      </c>
      <c r="C120" t="s">
        <v>224</v>
      </c>
      <c r="D120">
        <v>70.12</v>
      </c>
      <c r="E120">
        <v>0</v>
      </c>
      <c r="F120">
        <v>174</v>
      </c>
      <c r="G120">
        <v>88</v>
      </c>
      <c r="H120">
        <v>29.07</v>
      </c>
      <c r="I120">
        <f>(5+6+6+6)/4</f>
        <v>5.75</v>
      </c>
      <c r="J120" t="s">
        <v>300</v>
      </c>
      <c r="K120" t="s">
        <v>416</v>
      </c>
      <c r="M120">
        <v>1</v>
      </c>
      <c r="N120">
        <v>59</v>
      </c>
      <c r="O120" t="s">
        <v>60</v>
      </c>
      <c r="P120" t="s">
        <v>224</v>
      </c>
      <c r="Q120">
        <v>71.25</v>
      </c>
      <c r="R120">
        <v>0</v>
      </c>
      <c r="S120">
        <v>174</v>
      </c>
      <c r="T120">
        <v>85</v>
      </c>
      <c r="U120">
        <v>28.08</v>
      </c>
      <c r="V120">
        <f>(1+1+4+2)/4</f>
        <v>2</v>
      </c>
      <c r="X120">
        <v>1</v>
      </c>
    </row>
    <row r="122" spans="1:24" x14ac:dyDescent="0.45">
      <c r="A122">
        <v>60</v>
      </c>
      <c r="B122" t="s">
        <v>61</v>
      </c>
      <c r="C122" t="s">
        <v>225</v>
      </c>
      <c r="D122">
        <v>83.89</v>
      </c>
      <c r="E122">
        <v>0</v>
      </c>
      <c r="F122">
        <v>173</v>
      </c>
      <c r="G122">
        <v>92</v>
      </c>
      <c r="H122">
        <v>30.74</v>
      </c>
      <c r="I122">
        <f>(5+5+5+5)/4</f>
        <v>5</v>
      </c>
      <c r="J122" t="s">
        <v>316</v>
      </c>
      <c r="K122" t="s">
        <v>417</v>
      </c>
      <c r="M122">
        <v>0</v>
      </c>
      <c r="N122">
        <v>60</v>
      </c>
      <c r="O122" t="s">
        <v>61</v>
      </c>
      <c r="P122" t="s">
        <v>225</v>
      </c>
      <c r="Q122">
        <v>85.02</v>
      </c>
      <c r="R122">
        <v>0</v>
      </c>
      <c r="S122">
        <v>173</v>
      </c>
      <c r="T122">
        <v>93</v>
      </c>
      <c r="U122">
        <v>31.07</v>
      </c>
      <c r="V122">
        <f>(0+0+0+0)/4</f>
        <v>0</v>
      </c>
      <c r="X122">
        <v>0</v>
      </c>
    </row>
    <row r="124" spans="1:24" x14ac:dyDescent="0.45">
      <c r="A124">
        <v>61</v>
      </c>
      <c r="B124" t="s">
        <v>62</v>
      </c>
      <c r="C124" t="s">
        <v>226</v>
      </c>
      <c r="D124">
        <v>74.7</v>
      </c>
      <c r="E124">
        <v>1</v>
      </c>
      <c r="F124">
        <v>155</v>
      </c>
      <c r="G124">
        <v>60</v>
      </c>
      <c r="H124">
        <v>24.97</v>
      </c>
      <c r="I124">
        <f>(8+8+8+6.5)/4</f>
        <v>7.625</v>
      </c>
      <c r="J124" t="s">
        <v>338</v>
      </c>
      <c r="K124" t="s">
        <v>418</v>
      </c>
      <c r="M124">
        <v>1</v>
      </c>
      <c r="N124">
        <v>61</v>
      </c>
      <c r="O124" t="s">
        <v>62</v>
      </c>
      <c r="P124" t="s">
        <v>226</v>
      </c>
      <c r="Q124">
        <v>75.81</v>
      </c>
      <c r="R124">
        <v>1</v>
      </c>
      <c r="S124">
        <v>155</v>
      </c>
      <c r="T124">
        <v>60</v>
      </c>
      <c r="U124">
        <v>24.97</v>
      </c>
      <c r="V124">
        <f>(1+1+0+0)/4</f>
        <v>0.5</v>
      </c>
      <c r="X124">
        <v>1</v>
      </c>
    </row>
    <row r="126" spans="1:24" x14ac:dyDescent="0.45">
      <c r="A126">
        <v>62</v>
      </c>
      <c r="B126" t="s">
        <v>33</v>
      </c>
      <c r="C126" t="s">
        <v>201</v>
      </c>
      <c r="D126">
        <v>62.54</v>
      </c>
      <c r="E126">
        <v>0</v>
      </c>
      <c r="F126">
        <v>165</v>
      </c>
      <c r="G126">
        <v>64</v>
      </c>
      <c r="H126">
        <v>23.51</v>
      </c>
      <c r="I126">
        <f>(4+3+2+2)/4</f>
        <v>2.75</v>
      </c>
      <c r="J126" t="s">
        <v>339</v>
      </c>
      <c r="K126" t="s">
        <v>419</v>
      </c>
      <c r="M126">
        <v>1</v>
      </c>
      <c r="N126">
        <v>62</v>
      </c>
      <c r="O126" t="s">
        <v>33</v>
      </c>
      <c r="P126" t="s">
        <v>201</v>
      </c>
      <c r="Q126">
        <v>63.79</v>
      </c>
      <c r="R126">
        <v>0</v>
      </c>
      <c r="S126">
        <v>165</v>
      </c>
      <c r="T126">
        <v>64</v>
      </c>
      <c r="U126">
        <v>23.51</v>
      </c>
      <c r="V126">
        <f>(3+5+3+5)/4</f>
        <v>4</v>
      </c>
      <c r="X126">
        <v>1</v>
      </c>
    </row>
    <row r="128" spans="1:24" x14ac:dyDescent="0.45">
      <c r="A128">
        <v>63</v>
      </c>
      <c r="B128" t="s">
        <v>63</v>
      </c>
      <c r="C128" t="s">
        <v>227</v>
      </c>
      <c r="D128">
        <v>69.959999999999994</v>
      </c>
      <c r="E128">
        <v>1</v>
      </c>
      <c r="F128">
        <v>161</v>
      </c>
      <c r="G128">
        <v>70</v>
      </c>
      <c r="H128">
        <v>27.01</v>
      </c>
      <c r="I128">
        <f>(3+4+5+5)/4</f>
        <v>4.25</v>
      </c>
      <c r="J128" t="s">
        <v>316</v>
      </c>
      <c r="K128" t="s">
        <v>388</v>
      </c>
      <c r="M128">
        <v>0</v>
      </c>
      <c r="N128">
        <v>63</v>
      </c>
      <c r="O128" t="s">
        <v>63</v>
      </c>
      <c r="P128" t="s">
        <v>227</v>
      </c>
      <c r="Q128">
        <v>71.13</v>
      </c>
      <c r="R128">
        <v>1</v>
      </c>
      <c r="S128">
        <v>161</v>
      </c>
      <c r="T128">
        <v>70</v>
      </c>
      <c r="U128">
        <v>27.01</v>
      </c>
      <c r="V128">
        <f>(0+0+0+0)/4</f>
        <v>0</v>
      </c>
      <c r="X128">
        <v>0</v>
      </c>
    </row>
    <row r="130" spans="1:24" x14ac:dyDescent="0.45">
      <c r="A130">
        <v>64</v>
      </c>
      <c r="B130" t="s">
        <v>64</v>
      </c>
      <c r="C130" t="s">
        <v>228</v>
      </c>
      <c r="D130">
        <v>61.45</v>
      </c>
      <c r="E130">
        <v>1</v>
      </c>
      <c r="F130">
        <v>170</v>
      </c>
      <c r="G130">
        <v>104</v>
      </c>
      <c r="H130">
        <v>35.99</v>
      </c>
      <c r="I130">
        <f>(6+8+5+5)/4</f>
        <v>6</v>
      </c>
      <c r="J130" t="s">
        <v>340</v>
      </c>
      <c r="K130" t="s">
        <v>420</v>
      </c>
      <c r="M130">
        <v>1</v>
      </c>
      <c r="N130">
        <v>64</v>
      </c>
      <c r="O130" t="s">
        <v>64</v>
      </c>
      <c r="P130" t="s">
        <v>228</v>
      </c>
      <c r="Q130">
        <v>62.65</v>
      </c>
      <c r="R130">
        <v>1</v>
      </c>
      <c r="S130">
        <v>170</v>
      </c>
      <c r="T130">
        <v>100</v>
      </c>
      <c r="U130">
        <v>34.6</v>
      </c>
      <c r="V130">
        <f>(3+6+2+2)/4</f>
        <v>3.25</v>
      </c>
      <c r="X130">
        <v>1</v>
      </c>
    </row>
    <row r="132" spans="1:24" x14ac:dyDescent="0.45">
      <c r="A132">
        <v>65</v>
      </c>
      <c r="B132" t="s">
        <v>65</v>
      </c>
      <c r="C132" t="s">
        <v>229</v>
      </c>
      <c r="D132">
        <v>68.010000000000005</v>
      </c>
      <c r="E132">
        <v>0</v>
      </c>
      <c r="F132">
        <v>160</v>
      </c>
      <c r="G132">
        <v>70</v>
      </c>
      <c r="H132">
        <v>27.34</v>
      </c>
      <c r="I132">
        <f>(6+8+4+8)/4</f>
        <v>6.5</v>
      </c>
      <c r="J132" t="s">
        <v>341</v>
      </c>
      <c r="K132" t="s">
        <v>421</v>
      </c>
      <c r="M132">
        <v>1</v>
      </c>
      <c r="N132">
        <v>65</v>
      </c>
      <c r="O132" t="s">
        <v>65</v>
      </c>
      <c r="P132" t="s">
        <v>229</v>
      </c>
      <c r="Q132">
        <v>69.260000000000005</v>
      </c>
      <c r="R132">
        <v>0</v>
      </c>
      <c r="S132">
        <v>160</v>
      </c>
      <c r="T132">
        <v>70</v>
      </c>
      <c r="U132">
        <v>27.34</v>
      </c>
      <c r="V132">
        <f>(1+1+2+2)/4</f>
        <v>1.5</v>
      </c>
      <c r="X132">
        <v>1</v>
      </c>
    </row>
    <row r="134" spans="1:24" x14ac:dyDescent="0.45">
      <c r="A134">
        <v>66</v>
      </c>
      <c r="B134" t="s">
        <v>66</v>
      </c>
      <c r="C134" t="s">
        <v>230</v>
      </c>
      <c r="D134">
        <v>79.650000000000006</v>
      </c>
      <c r="E134">
        <v>1</v>
      </c>
      <c r="F134">
        <v>150</v>
      </c>
      <c r="G134">
        <v>52</v>
      </c>
      <c r="H134">
        <v>23.11</v>
      </c>
      <c r="I134">
        <f>(6+7+6+6)/4</f>
        <v>6.25</v>
      </c>
      <c r="J134" t="s">
        <v>316</v>
      </c>
      <c r="K134" t="s">
        <v>388</v>
      </c>
      <c r="M134">
        <v>0</v>
      </c>
      <c r="N134">
        <v>66</v>
      </c>
      <c r="O134" t="s">
        <v>66</v>
      </c>
      <c r="P134" t="s">
        <v>230</v>
      </c>
      <c r="Q134">
        <v>80.790000000000006</v>
      </c>
      <c r="R134">
        <v>1</v>
      </c>
      <c r="S134">
        <v>150</v>
      </c>
      <c r="T134">
        <v>48</v>
      </c>
      <c r="U134">
        <v>21.33</v>
      </c>
      <c r="V134">
        <f>(0+0+0+0)/4</f>
        <v>0</v>
      </c>
      <c r="X134">
        <v>0</v>
      </c>
    </row>
    <row r="136" spans="1:24" x14ac:dyDescent="0.45">
      <c r="A136">
        <v>67</v>
      </c>
      <c r="B136" t="s">
        <v>67</v>
      </c>
      <c r="C136" t="s">
        <v>231</v>
      </c>
      <c r="D136">
        <v>53.6</v>
      </c>
      <c r="E136">
        <v>1</v>
      </c>
      <c r="F136">
        <v>162</v>
      </c>
      <c r="G136">
        <v>95</v>
      </c>
      <c r="H136">
        <v>36.200000000000003</v>
      </c>
      <c r="I136">
        <f>(1+1+1+2)/4</f>
        <v>1.25</v>
      </c>
      <c r="J136" t="s">
        <v>342</v>
      </c>
      <c r="K136" t="s">
        <v>388</v>
      </c>
      <c r="M136">
        <v>1</v>
      </c>
      <c r="N136">
        <v>67</v>
      </c>
      <c r="O136" t="s">
        <v>67</v>
      </c>
      <c r="P136" t="s">
        <v>231</v>
      </c>
      <c r="Q136">
        <v>54.72</v>
      </c>
      <c r="R136">
        <v>1</v>
      </c>
      <c r="S136">
        <v>162</v>
      </c>
      <c r="T136">
        <v>95</v>
      </c>
      <c r="U136">
        <v>36.200000000000003</v>
      </c>
      <c r="V136">
        <f>(2+2+2+2)/4</f>
        <v>2</v>
      </c>
      <c r="X136">
        <v>1</v>
      </c>
    </row>
    <row r="138" spans="1:24" x14ac:dyDescent="0.45">
      <c r="A138">
        <v>68</v>
      </c>
      <c r="B138" t="s">
        <v>68</v>
      </c>
      <c r="C138" t="s">
        <v>232</v>
      </c>
      <c r="D138">
        <v>65.900000000000006</v>
      </c>
      <c r="E138">
        <v>1</v>
      </c>
      <c r="F138">
        <v>160</v>
      </c>
      <c r="G138">
        <v>76</v>
      </c>
      <c r="H138">
        <v>29.69</v>
      </c>
      <c r="I138">
        <f>(3+4+1+2)/4</f>
        <v>2.5</v>
      </c>
      <c r="J138" t="s">
        <v>295</v>
      </c>
      <c r="K138" t="s">
        <v>388</v>
      </c>
      <c r="M138">
        <v>0</v>
      </c>
      <c r="N138">
        <v>68</v>
      </c>
      <c r="O138" t="s">
        <v>68</v>
      </c>
      <c r="P138" t="s">
        <v>232</v>
      </c>
      <c r="Q138">
        <v>67.040000000000006</v>
      </c>
      <c r="R138">
        <v>1</v>
      </c>
      <c r="S138">
        <v>160</v>
      </c>
      <c r="T138">
        <v>80</v>
      </c>
      <c r="U138">
        <v>31.25</v>
      </c>
      <c r="V138">
        <f>(0+0+0+0)/4</f>
        <v>0</v>
      </c>
      <c r="X138">
        <v>0</v>
      </c>
    </row>
    <row r="140" spans="1:24" x14ac:dyDescent="0.45">
      <c r="A140">
        <v>69</v>
      </c>
      <c r="B140" t="s">
        <v>69</v>
      </c>
      <c r="C140" t="s">
        <v>174</v>
      </c>
      <c r="D140">
        <v>69.760000000000005</v>
      </c>
      <c r="E140">
        <v>1</v>
      </c>
      <c r="F140">
        <v>154</v>
      </c>
      <c r="G140">
        <v>75</v>
      </c>
      <c r="H140">
        <v>31.62</v>
      </c>
      <c r="I140">
        <f>(2+3+2+2)/4</f>
        <v>2.25</v>
      </c>
      <c r="J140" t="s">
        <v>300</v>
      </c>
      <c r="K140" t="s">
        <v>422</v>
      </c>
      <c r="M140">
        <v>1</v>
      </c>
      <c r="N140">
        <v>69</v>
      </c>
      <c r="O140" t="s">
        <v>69</v>
      </c>
      <c r="P140" t="s">
        <v>174</v>
      </c>
      <c r="Q140">
        <v>70.8</v>
      </c>
      <c r="R140">
        <v>1</v>
      </c>
      <c r="S140">
        <v>154</v>
      </c>
      <c r="T140">
        <v>80</v>
      </c>
      <c r="U140">
        <v>33.729999999999997</v>
      </c>
      <c r="V140">
        <f>(2+1+1+1)/4</f>
        <v>1.25</v>
      </c>
      <c r="X140">
        <v>1</v>
      </c>
    </row>
    <row r="142" spans="1:24" x14ac:dyDescent="0.45">
      <c r="A142">
        <v>70</v>
      </c>
      <c r="B142" t="s">
        <v>70</v>
      </c>
      <c r="C142" t="s">
        <v>233</v>
      </c>
      <c r="D142">
        <v>88.24</v>
      </c>
      <c r="E142">
        <v>1</v>
      </c>
      <c r="F142">
        <v>163</v>
      </c>
      <c r="G142">
        <v>50</v>
      </c>
      <c r="H142">
        <v>18.82</v>
      </c>
      <c r="I142">
        <f>(3+4+1+2)/4</f>
        <v>2.5</v>
      </c>
      <c r="J142" t="s">
        <v>343</v>
      </c>
      <c r="K142" t="s">
        <v>388</v>
      </c>
      <c r="M142">
        <v>1</v>
      </c>
      <c r="N142">
        <v>70</v>
      </c>
      <c r="O142" t="s">
        <v>70</v>
      </c>
      <c r="P142" t="s">
        <v>233</v>
      </c>
      <c r="Q142">
        <v>89.31</v>
      </c>
      <c r="R142">
        <v>1</v>
      </c>
      <c r="S142">
        <v>163</v>
      </c>
      <c r="T142">
        <v>49</v>
      </c>
      <c r="U142">
        <v>18.440000000000001</v>
      </c>
      <c r="V142">
        <f>(0+0+0+0)/4</f>
        <v>0</v>
      </c>
      <c r="X142">
        <v>1</v>
      </c>
    </row>
    <row r="144" spans="1:24" x14ac:dyDescent="0.45">
      <c r="A144">
        <v>71</v>
      </c>
      <c r="B144" t="s">
        <v>71</v>
      </c>
      <c r="C144" t="s">
        <v>234</v>
      </c>
      <c r="D144">
        <v>86.97</v>
      </c>
      <c r="E144">
        <v>0</v>
      </c>
      <c r="F144">
        <v>167</v>
      </c>
      <c r="G144">
        <v>80</v>
      </c>
      <c r="H144">
        <v>28.69</v>
      </c>
      <c r="I144">
        <f>(0+0+0+0)/4</f>
        <v>0</v>
      </c>
      <c r="J144" t="s">
        <v>295</v>
      </c>
      <c r="K144" t="s">
        <v>388</v>
      </c>
      <c r="M144">
        <v>0</v>
      </c>
      <c r="N144">
        <v>71</v>
      </c>
      <c r="O144" t="s">
        <v>71</v>
      </c>
      <c r="P144" t="s">
        <v>234</v>
      </c>
      <c r="Q144">
        <v>88.19</v>
      </c>
      <c r="R144">
        <v>0</v>
      </c>
      <c r="S144">
        <v>167</v>
      </c>
      <c r="T144">
        <v>81</v>
      </c>
      <c r="U144">
        <v>29.04</v>
      </c>
      <c r="V144">
        <f>(0+0+0+0)/4</f>
        <v>0</v>
      </c>
      <c r="X144">
        <v>0</v>
      </c>
    </row>
    <row r="146" spans="1:24" x14ac:dyDescent="0.45">
      <c r="A146">
        <v>72</v>
      </c>
      <c r="B146" t="s">
        <v>72</v>
      </c>
      <c r="C146" t="s">
        <v>235</v>
      </c>
      <c r="D146">
        <v>62.49</v>
      </c>
      <c r="E146">
        <v>1</v>
      </c>
      <c r="F146">
        <v>159</v>
      </c>
      <c r="G146">
        <v>63</v>
      </c>
      <c r="H146">
        <v>24.92</v>
      </c>
      <c r="I146">
        <f>(8+8+6+8)/4</f>
        <v>7.5</v>
      </c>
      <c r="J146" t="s">
        <v>344</v>
      </c>
      <c r="K146" t="s">
        <v>423</v>
      </c>
      <c r="M146">
        <v>0</v>
      </c>
      <c r="N146">
        <v>72</v>
      </c>
      <c r="O146" t="s">
        <v>72</v>
      </c>
      <c r="P146" t="s">
        <v>235</v>
      </c>
      <c r="Q146">
        <v>63.56</v>
      </c>
      <c r="R146">
        <v>1</v>
      </c>
      <c r="S146">
        <v>159</v>
      </c>
      <c r="T146">
        <v>64</v>
      </c>
      <c r="U146">
        <v>25.32</v>
      </c>
      <c r="V146">
        <f>(8+6+8+3)/4</f>
        <v>6.25</v>
      </c>
      <c r="X146">
        <v>0</v>
      </c>
    </row>
    <row r="148" spans="1:24" x14ac:dyDescent="0.45">
      <c r="A148">
        <v>73</v>
      </c>
      <c r="B148" t="s">
        <v>73</v>
      </c>
      <c r="C148" t="s">
        <v>219</v>
      </c>
      <c r="D148">
        <v>60.46</v>
      </c>
      <c r="E148">
        <v>0</v>
      </c>
      <c r="F148">
        <v>166</v>
      </c>
      <c r="G148">
        <v>75</v>
      </c>
      <c r="H148">
        <v>27.22</v>
      </c>
      <c r="I148">
        <f>(5+7+3+5)/4</f>
        <v>5</v>
      </c>
      <c r="J148" t="s">
        <v>345</v>
      </c>
      <c r="K148" t="s">
        <v>388</v>
      </c>
      <c r="M148">
        <v>0</v>
      </c>
      <c r="N148">
        <v>73</v>
      </c>
      <c r="O148" t="s">
        <v>73</v>
      </c>
      <c r="P148" t="s">
        <v>219</v>
      </c>
      <c r="Q148">
        <v>61.82</v>
      </c>
      <c r="R148">
        <v>0</v>
      </c>
      <c r="S148">
        <v>166</v>
      </c>
      <c r="T148">
        <v>80</v>
      </c>
      <c r="U148">
        <v>29.03</v>
      </c>
      <c r="V148">
        <f>(5+5+2+7)/4</f>
        <v>4.75</v>
      </c>
      <c r="X148">
        <v>0</v>
      </c>
    </row>
    <row r="150" spans="1:24" x14ac:dyDescent="0.45">
      <c r="A150">
        <v>74</v>
      </c>
      <c r="B150" t="s">
        <v>74</v>
      </c>
      <c r="C150" t="s">
        <v>236</v>
      </c>
      <c r="D150">
        <v>72.959999999999994</v>
      </c>
      <c r="E150">
        <v>1</v>
      </c>
      <c r="F150">
        <v>159</v>
      </c>
      <c r="G150">
        <v>107</v>
      </c>
      <c r="H150">
        <v>42.32</v>
      </c>
      <c r="I150">
        <f>(3+5+3+3)/4</f>
        <v>3.5</v>
      </c>
      <c r="J150" t="s">
        <v>346</v>
      </c>
      <c r="K150" t="s">
        <v>424</v>
      </c>
      <c r="M150">
        <v>1</v>
      </c>
      <c r="N150">
        <v>74</v>
      </c>
      <c r="O150" t="s">
        <v>74</v>
      </c>
      <c r="P150" t="s">
        <v>236</v>
      </c>
      <c r="Q150">
        <v>74.11</v>
      </c>
      <c r="R150">
        <v>1</v>
      </c>
      <c r="S150">
        <v>162</v>
      </c>
      <c r="T150">
        <v>107</v>
      </c>
      <c r="U150">
        <v>40.770000000000003</v>
      </c>
      <c r="V150">
        <f>(0+0+0+0)/4</f>
        <v>0</v>
      </c>
      <c r="X150">
        <v>1</v>
      </c>
    </row>
    <row r="152" spans="1:24" x14ac:dyDescent="0.45">
      <c r="A152">
        <v>75</v>
      </c>
      <c r="B152" t="s">
        <v>75</v>
      </c>
      <c r="C152" t="s">
        <v>191</v>
      </c>
      <c r="D152">
        <v>89.08</v>
      </c>
      <c r="E152">
        <v>1</v>
      </c>
      <c r="F152">
        <v>158</v>
      </c>
      <c r="G152">
        <v>78</v>
      </c>
      <c r="H152">
        <v>31.24</v>
      </c>
      <c r="I152">
        <f>(7+7+6+6)/4</f>
        <v>6.5</v>
      </c>
      <c r="J152" t="s">
        <v>347</v>
      </c>
      <c r="K152" t="s">
        <v>388</v>
      </c>
      <c r="M152">
        <v>1</v>
      </c>
      <c r="N152">
        <v>75</v>
      </c>
      <c r="O152" t="s">
        <v>75</v>
      </c>
      <c r="P152" t="s">
        <v>191</v>
      </c>
      <c r="Q152">
        <v>90.19</v>
      </c>
      <c r="R152">
        <v>1</v>
      </c>
      <c r="S152">
        <v>158</v>
      </c>
      <c r="T152">
        <v>70</v>
      </c>
      <c r="U152">
        <v>28.04</v>
      </c>
      <c r="V152">
        <f>(0+0+0+0)/4</f>
        <v>0</v>
      </c>
      <c r="X152">
        <v>1</v>
      </c>
    </row>
    <row r="154" spans="1:24" x14ac:dyDescent="0.45">
      <c r="A154">
        <v>76</v>
      </c>
      <c r="B154" t="s">
        <v>76</v>
      </c>
      <c r="C154" t="s">
        <v>237</v>
      </c>
      <c r="D154">
        <v>78.209999999999994</v>
      </c>
      <c r="E154">
        <v>1</v>
      </c>
      <c r="F154">
        <v>160</v>
      </c>
      <c r="G154">
        <v>80</v>
      </c>
      <c r="H154">
        <v>31.25</v>
      </c>
      <c r="I154">
        <f>(8+9+9+9)/4</f>
        <v>8.75</v>
      </c>
      <c r="J154" t="s">
        <v>348</v>
      </c>
      <c r="K154" t="s">
        <v>425</v>
      </c>
      <c r="M154">
        <v>0</v>
      </c>
      <c r="N154">
        <v>76</v>
      </c>
      <c r="O154" t="s">
        <v>76</v>
      </c>
      <c r="P154" t="s">
        <v>237</v>
      </c>
      <c r="Q154">
        <v>79.28</v>
      </c>
      <c r="R154">
        <v>1</v>
      </c>
      <c r="S154">
        <v>160</v>
      </c>
      <c r="T154">
        <v>80</v>
      </c>
      <c r="U154">
        <v>31.25</v>
      </c>
      <c r="V154">
        <f>(8+7+7+8)/4</f>
        <v>7.5</v>
      </c>
      <c r="X154">
        <v>0</v>
      </c>
    </row>
    <row r="156" spans="1:24" x14ac:dyDescent="0.45">
      <c r="A156">
        <v>77</v>
      </c>
      <c r="B156" t="s">
        <v>77</v>
      </c>
      <c r="C156" t="s">
        <v>191</v>
      </c>
      <c r="D156">
        <v>79.8</v>
      </c>
      <c r="E156">
        <v>0</v>
      </c>
      <c r="F156">
        <v>167</v>
      </c>
      <c r="G156">
        <v>69</v>
      </c>
      <c r="H156">
        <v>24.74</v>
      </c>
      <c r="I156">
        <f>(4+2+0+1)/4</f>
        <v>1.75</v>
      </c>
      <c r="J156" t="s">
        <v>349</v>
      </c>
      <c r="K156" t="s">
        <v>426</v>
      </c>
      <c r="M156">
        <v>0</v>
      </c>
      <c r="N156">
        <v>77</v>
      </c>
      <c r="O156" t="s">
        <v>77</v>
      </c>
      <c r="P156" t="s">
        <v>191</v>
      </c>
      <c r="Q156">
        <v>80.95</v>
      </c>
      <c r="R156">
        <v>0</v>
      </c>
      <c r="S156">
        <v>167</v>
      </c>
      <c r="T156">
        <v>74</v>
      </c>
      <c r="U156">
        <v>26.53</v>
      </c>
      <c r="V156">
        <f>(0+0+0+0)/4</f>
        <v>0</v>
      </c>
      <c r="X156">
        <v>0</v>
      </c>
    </row>
    <row r="158" spans="1:24" x14ac:dyDescent="0.45">
      <c r="A158">
        <v>78</v>
      </c>
      <c r="B158" t="s">
        <v>78</v>
      </c>
      <c r="C158" t="s">
        <v>217</v>
      </c>
      <c r="D158">
        <v>74.099999999999994</v>
      </c>
      <c r="E158">
        <v>0</v>
      </c>
      <c r="F158">
        <v>173</v>
      </c>
      <c r="G158">
        <v>77</v>
      </c>
      <c r="H158">
        <v>25.73</v>
      </c>
      <c r="I158">
        <f>(8+8+8+3)/4</f>
        <v>6.75</v>
      </c>
      <c r="J158" t="s">
        <v>300</v>
      </c>
      <c r="K158" t="s">
        <v>426</v>
      </c>
      <c r="M158">
        <v>1</v>
      </c>
      <c r="N158">
        <v>78</v>
      </c>
      <c r="O158" t="s">
        <v>78</v>
      </c>
      <c r="P158" t="s">
        <v>217</v>
      </c>
      <c r="Q158">
        <v>75.12</v>
      </c>
      <c r="R158">
        <v>0</v>
      </c>
      <c r="S158">
        <v>173</v>
      </c>
      <c r="T158">
        <v>73</v>
      </c>
      <c r="U158">
        <v>24.39</v>
      </c>
      <c r="V158">
        <f>(0+0+0+0)/4</f>
        <v>0</v>
      </c>
      <c r="X158">
        <v>1</v>
      </c>
    </row>
    <row r="160" spans="1:24" x14ac:dyDescent="0.45">
      <c r="A160">
        <v>79</v>
      </c>
      <c r="B160" t="s">
        <v>79</v>
      </c>
      <c r="C160" t="s">
        <v>238</v>
      </c>
      <c r="D160">
        <v>87.79</v>
      </c>
      <c r="E160">
        <v>0</v>
      </c>
      <c r="F160">
        <v>166</v>
      </c>
      <c r="G160">
        <v>72</v>
      </c>
      <c r="H160">
        <v>26.13</v>
      </c>
      <c r="I160">
        <f>(6+4+2+2)/4</f>
        <v>3.5</v>
      </c>
      <c r="J160" t="s">
        <v>313</v>
      </c>
      <c r="K160" t="s">
        <v>427</v>
      </c>
      <c r="M160">
        <v>1</v>
      </c>
      <c r="N160">
        <v>79</v>
      </c>
      <c r="O160" t="s">
        <v>79</v>
      </c>
      <c r="P160" t="s">
        <v>238</v>
      </c>
      <c r="Q160">
        <v>88.78</v>
      </c>
      <c r="R160">
        <v>0</v>
      </c>
      <c r="S160">
        <v>166</v>
      </c>
      <c r="T160">
        <v>75</v>
      </c>
      <c r="U160">
        <v>27.22</v>
      </c>
      <c r="V160">
        <f>(0+0+0+0)/4</f>
        <v>0</v>
      </c>
      <c r="X160">
        <v>1</v>
      </c>
    </row>
    <row r="162" spans="1:24" x14ac:dyDescent="0.45">
      <c r="A162">
        <v>80</v>
      </c>
      <c r="B162" t="s">
        <v>80</v>
      </c>
      <c r="C162" t="s">
        <v>187</v>
      </c>
      <c r="D162">
        <v>72.260000000000005</v>
      </c>
      <c r="E162">
        <v>1</v>
      </c>
      <c r="F162">
        <v>153</v>
      </c>
      <c r="G162">
        <v>60</v>
      </c>
      <c r="H162">
        <v>25.63</v>
      </c>
      <c r="I162">
        <f>(7+8+5+6)/4</f>
        <v>6.5</v>
      </c>
      <c r="J162" t="s">
        <v>295</v>
      </c>
      <c r="K162" t="s">
        <v>428</v>
      </c>
      <c r="M162">
        <v>0</v>
      </c>
      <c r="N162">
        <v>80</v>
      </c>
      <c r="O162" t="s">
        <v>80</v>
      </c>
      <c r="P162" t="s">
        <v>187</v>
      </c>
      <c r="Q162">
        <v>73.39</v>
      </c>
      <c r="R162">
        <v>1</v>
      </c>
      <c r="S162">
        <v>153</v>
      </c>
      <c r="T162">
        <v>64</v>
      </c>
      <c r="U162">
        <v>27.34</v>
      </c>
      <c r="V162">
        <f>(0+0+1+1)/4</f>
        <v>0.5</v>
      </c>
      <c r="X162">
        <v>0</v>
      </c>
    </row>
    <row r="164" spans="1:24" x14ac:dyDescent="0.45">
      <c r="A164">
        <v>81</v>
      </c>
      <c r="B164" t="s">
        <v>81</v>
      </c>
      <c r="C164" t="s">
        <v>239</v>
      </c>
      <c r="D164">
        <v>59.79</v>
      </c>
      <c r="E164">
        <v>1</v>
      </c>
      <c r="F164">
        <v>172</v>
      </c>
      <c r="G164">
        <v>98</v>
      </c>
      <c r="H164">
        <v>33.130000000000003</v>
      </c>
      <c r="I164">
        <f>(4+4+1+1)/4</f>
        <v>2.5</v>
      </c>
      <c r="J164" t="s">
        <v>350</v>
      </c>
      <c r="K164" t="s">
        <v>388</v>
      </c>
      <c r="M164">
        <v>0</v>
      </c>
      <c r="N164">
        <v>81</v>
      </c>
      <c r="O164" t="s">
        <v>81</v>
      </c>
      <c r="P164" t="s">
        <v>239</v>
      </c>
      <c r="Q164">
        <v>60.84</v>
      </c>
      <c r="R164">
        <v>1</v>
      </c>
      <c r="S164">
        <v>172</v>
      </c>
      <c r="T164">
        <v>98</v>
      </c>
      <c r="U164">
        <v>33.130000000000003</v>
      </c>
      <c r="V164">
        <f>(0+0+0+0)/4</f>
        <v>0</v>
      </c>
      <c r="X164">
        <v>0</v>
      </c>
    </row>
    <row r="166" spans="1:24" x14ac:dyDescent="0.45">
      <c r="A166">
        <v>82</v>
      </c>
      <c r="B166" t="s">
        <v>82</v>
      </c>
      <c r="C166" t="s">
        <v>240</v>
      </c>
      <c r="D166">
        <v>58.92</v>
      </c>
      <c r="E166">
        <v>0</v>
      </c>
      <c r="F166">
        <v>180</v>
      </c>
      <c r="G166">
        <v>82</v>
      </c>
      <c r="H166">
        <v>25.31</v>
      </c>
      <c r="I166">
        <f>(4+4+3+4)/4</f>
        <v>3.75</v>
      </c>
      <c r="J166" t="s">
        <v>351</v>
      </c>
      <c r="K166" t="s">
        <v>429</v>
      </c>
      <c r="M166">
        <v>1</v>
      </c>
      <c r="N166">
        <v>82</v>
      </c>
      <c r="O166" t="s">
        <v>82</v>
      </c>
      <c r="P166" t="s">
        <v>240</v>
      </c>
      <c r="Q166">
        <v>59.94</v>
      </c>
      <c r="R166">
        <v>0</v>
      </c>
      <c r="S166">
        <v>180</v>
      </c>
      <c r="T166">
        <v>83</v>
      </c>
      <c r="U166">
        <v>25.62</v>
      </c>
      <c r="V166">
        <f>(1+3+0+0)/4</f>
        <v>1</v>
      </c>
      <c r="X166">
        <v>1</v>
      </c>
    </row>
    <row r="168" spans="1:24" x14ac:dyDescent="0.45">
      <c r="A168">
        <v>83</v>
      </c>
      <c r="B168" t="s">
        <v>83</v>
      </c>
      <c r="C168" t="s">
        <v>241</v>
      </c>
      <c r="D168">
        <v>75.56</v>
      </c>
      <c r="E168">
        <v>0</v>
      </c>
      <c r="F168">
        <v>173</v>
      </c>
      <c r="G168">
        <v>73</v>
      </c>
      <c r="H168">
        <v>24.39</v>
      </c>
      <c r="I168">
        <f>(8+9+8+8)/4</f>
        <v>8.25</v>
      </c>
      <c r="J168" t="s">
        <v>313</v>
      </c>
      <c r="K168" t="s">
        <v>388</v>
      </c>
      <c r="M168">
        <v>1</v>
      </c>
      <c r="N168">
        <v>83</v>
      </c>
      <c r="O168" t="s">
        <v>83</v>
      </c>
      <c r="P168" t="s">
        <v>241</v>
      </c>
      <c r="Q168">
        <v>77.31</v>
      </c>
      <c r="R168">
        <v>0</v>
      </c>
      <c r="S168">
        <v>173</v>
      </c>
      <c r="T168">
        <v>68</v>
      </c>
      <c r="U168">
        <v>22.72</v>
      </c>
      <c r="V168">
        <f>(0+0+0+0)/4</f>
        <v>0</v>
      </c>
      <c r="X168">
        <v>1</v>
      </c>
    </row>
    <row r="170" spans="1:24" x14ac:dyDescent="0.45">
      <c r="A170">
        <v>84</v>
      </c>
      <c r="B170" t="s">
        <v>84</v>
      </c>
      <c r="C170" t="s">
        <v>242</v>
      </c>
      <c r="D170">
        <v>74.94</v>
      </c>
      <c r="E170">
        <v>0</v>
      </c>
      <c r="F170">
        <v>165</v>
      </c>
      <c r="G170">
        <v>53</v>
      </c>
      <c r="H170">
        <v>19.47</v>
      </c>
      <c r="I170">
        <f>(9+9+9+9)/4</f>
        <v>9</v>
      </c>
      <c r="J170" t="s">
        <v>352</v>
      </c>
      <c r="K170" t="s">
        <v>388</v>
      </c>
      <c r="M170">
        <v>0</v>
      </c>
      <c r="N170">
        <v>84</v>
      </c>
      <c r="O170" t="s">
        <v>84</v>
      </c>
      <c r="P170" t="s">
        <v>242</v>
      </c>
      <c r="Q170">
        <v>76.05</v>
      </c>
      <c r="R170">
        <v>0</v>
      </c>
      <c r="S170">
        <v>165</v>
      </c>
      <c r="T170">
        <v>53</v>
      </c>
      <c r="U170">
        <v>19.47</v>
      </c>
      <c r="V170">
        <f>(2+2+0+2)/4</f>
        <v>1.5</v>
      </c>
      <c r="X170">
        <v>0</v>
      </c>
    </row>
    <row r="172" spans="1:24" x14ac:dyDescent="0.45">
      <c r="A172">
        <v>85</v>
      </c>
      <c r="B172" t="s">
        <v>85</v>
      </c>
      <c r="C172" t="s">
        <v>186</v>
      </c>
      <c r="D172">
        <v>74.94</v>
      </c>
      <c r="E172">
        <v>0</v>
      </c>
      <c r="F172">
        <v>175</v>
      </c>
      <c r="G172">
        <v>100</v>
      </c>
      <c r="H172">
        <v>32.65</v>
      </c>
      <c r="I172">
        <f>(7+7+5+3)/4</f>
        <v>5.5</v>
      </c>
      <c r="J172" t="s">
        <v>333</v>
      </c>
      <c r="K172" t="s">
        <v>388</v>
      </c>
      <c r="M172">
        <v>1</v>
      </c>
      <c r="N172">
        <v>85</v>
      </c>
      <c r="O172" t="s">
        <v>85</v>
      </c>
      <c r="P172" t="s">
        <v>186</v>
      </c>
      <c r="Q172">
        <v>75.92</v>
      </c>
      <c r="R172">
        <v>0</v>
      </c>
      <c r="S172">
        <v>175</v>
      </c>
      <c r="T172">
        <v>100</v>
      </c>
      <c r="U172">
        <v>32.65</v>
      </c>
      <c r="V172">
        <f>(0+0+0+0)/4</f>
        <v>0</v>
      </c>
      <c r="X172">
        <v>1</v>
      </c>
    </row>
    <row r="174" spans="1:24" x14ac:dyDescent="0.45">
      <c r="A174">
        <v>86</v>
      </c>
      <c r="B174" t="s">
        <v>86</v>
      </c>
      <c r="C174" t="s">
        <v>243</v>
      </c>
      <c r="D174">
        <v>73.7</v>
      </c>
      <c r="E174">
        <v>1</v>
      </c>
      <c r="F174">
        <v>155</v>
      </c>
      <c r="G174">
        <v>81</v>
      </c>
      <c r="H174">
        <v>33.71</v>
      </c>
      <c r="I174">
        <f>(4+6+5+5)/4</f>
        <v>5</v>
      </c>
      <c r="J174" t="s">
        <v>295</v>
      </c>
      <c r="K174" t="s">
        <v>388</v>
      </c>
      <c r="M174">
        <v>0</v>
      </c>
      <c r="N174">
        <v>86</v>
      </c>
      <c r="O174" t="s">
        <v>86</v>
      </c>
      <c r="P174" t="s">
        <v>243</v>
      </c>
      <c r="Q174">
        <v>74.849999999999994</v>
      </c>
      <c r="R174">
        <v>1</v>
      </c>
      <c r="S174">
        <v>155</v>
      </c>
      <c r="T174">
        <v>83</v>
      </c>
      <c r="U174">
        <v>34.549999999999997</v>
      </c>
      <c r="V174">
        <f>(0+0+0+1)/4</f>
        <v>0.25</v>
      </c>
      <c r="X174">
        <v>0</v>
      </c>
    </row>
    <row r="176" spans="1:24" x14ac:dyDescent="0.45">
      <c r="A176">
        <v>87</v>
      </c>
      <c r="B176" t="s">
        <v>87</v>
      </c>
      <c r="C176" t="s">
        <v>244</v>
      </c>
      <c r="D176">
        <v>70.12</v>
      </c>
      <c r="E176">
        <v>0</v>
      </c>
      <c r="F176">
        <v>169</v>
      </c>
      <c r="G176">
        <v>105</v>
      </c>
      <c r="H176">
        <v>36.76</v>
      </c>
      <c r="I176">
        <f>(5+4+5+5)/4</f>
        <v>4.75</v>
      </c>
      <c r="J176" t="s">
        <v>353</v>
      </c>
      <c r="K176" t="s">
        <v>430</v>
      </c>
      <c r="M176">
        <v>0</v>
      </c>
      <c r="N176">
        <v>87</v>
      </c>
      <c r="O176" t="s">
        <v>87</v>
      </c>
      <c r="P176" t="s">
        <v>244</v>
      </c>
      <c r="Q176">
        <v>71.05</v>
      </c>
      <c r="R176">
        <v>0</v>
      </c>
      <c r="S176">
        <v>169</v>
      </c>
      <c r="T176">
        <v>105</v>
      </c>
      <c r="U176">
        <v>36.76</v>
      </c>
      <c r="V176">
        <f>(0+0+0+0)/4</f>
        <v>0</v>
      </c>
      <c r="X176">
        <v>0</v>
      </c>
    </row>
    <row r="178" spans="1:24" x14ac:dyDescent="0.45">
      <c r="A178">
        <v>88</v>
      </c>
      <c r="B178" t="s">
        <v>88</v>
      </c>
      <c r="C178" t="s">
        <v>245</v>
      </c>
      <c r="D178">
        <v>77.11</v>
      </c>
      <c r="E178">
        <v>1</v>
      </c>
      <c r="F178">
        <v>157</v>
      </c>
      <c r="G178">
        <v>53</v>
      </c>
      <c r="H178">
        <v>21.5</v>
      </c>
      <c r="I178">
        <f>(7+8+6+6)/4</f>
        <v>6.75</v>
      </c>
      <c r="J178" t="s">
        <v>295</v>
      </c>
      <c r="K178" t="s">
        <v>388</v>
      </c>
      <c r="M178">
        <v>0</v>
      </c>
      <c r="N178">
        <v>88</v>
      </c>
      <c r="O178" t="s">
        <v>88</v>
      </c>
      <c r="P178" t="s">
        <v>245</v>
      </c>
      <c r="Q178">
        <v>78.11</v>
      </c>
      <c r="R178">
        <v>1</v>
      </c>
      <c r="S178">
        <v>157</v>
      </c>
      <c r="T178">
        <v>53</v>
      </c>
      <c r="U178">
        <v>21.5</v>
      </c>
      <c r="V178">
        <f>(0+0+0+0)/4</f>
        <v>0</v>
      </c>
      <c r="X178">
        <v>0</v>
      </c>
    </row>
    <row r="180" spans="1:24" x14ac:dyDescent="0.45">
      <c r="A180">
        <v>89</v>
      </c>
      <c r="B180" t="s">
        <v>49</v>
      </c>
      <c r="C180" t="s">
        <v>186</v>
      </c>
      <c r="D180">
        <v>82.44</v>
      </c>
      <c r="E180">
        <v>1</v>
      </c>
      <c r="F180">
        <v>158</v>
      </c>
      <c r="G180">
        <v>55</v>
      </c>
      <c r="H180">
        <v>22.03</v>
      </c>
      <c r="I180">
        <f>(2+2+2+2)/4</f>
        <v>2</v>
      </c>
      <c r="J180" t="s">
        <v>327</v>
      </c>
      <c r="K180" t="s">
        <v>409</v>
      </c>
      <c r="M180">
        <v>1</v>
      </c>
      <c r="N180">
        <v>89</v>
      </c>
      <c r="O180" t="s">
        <v>49</v>
      </c>
      <c r="P180" t="s">
        <v>186</v>
      </c>
      <c r="Q180">
        <v>83.54</v>
      </c>
      <c r="R180">
        <v>1</v>
      </c>
      <c r="S180">
        <v>158</v>
      </c>
      <c r="T180">
        <v>55</v>
      </c>
      <c r="U180">
        <v>22.03</v>
      </c>
      <c r="V180">
        <f>(0+0+0+0)/4</f>
        <v>0</v>
      </c>
      <c r="X180">
        <v>1</v>
      </c>
    </row>
    <row r="182" spans="1:24" x14ac:dyDescent="0.45">
      <c r="A182">
        <v>90</v>
      </c>
      <c r="B182" t="s">
        <v>71</v>
      </c>
      <c r="C182" t="s">
        <v>234</v>
      </c>
      <c r="D182">
        <v>87.29</v>
      </c>
      <c r="E182">
        <v>0</v>
      </c>
      <c r="F182">
        <v>167</v>
      </c>
      <c r="G182">
        <v>80</v>
      </c>
      <c r="H182">
        <v>28.69</v>
      </c>
      <c r="I182">
        <f>(0+3+0+3)/4</f>
        <v>1.5</v>
      </c>
      <c r="J182" t="s">
        <v>295</v>
      </c>
      <c r="K182" t="s">
        <v>431</v>
      </c>
      <c r="M182">
        <v>1</v>
      </c>
      <c r="N182">
        <v>90</v>
      </c>
      <c r="O182" t="s">
        <v>71</v>
      </c>
      <c r="P182" t="s">
        <v>234</v>
      </c>
      <c r="Q182">
        <v>89.29</v>
      </c>
      <c r="R182">
        <v>0</v>
      </c>
      <c r="S182">
        <v>167</v>
      </c>
      <c r="T182">
        <v>80</v>
      </c>
      <c r="U182">
        <v>28.69</v>
      </c>
      <c r="V182">
        <f>(0+0+0+0)/4</f>
        <v>0</v>
      </c>
      <c r="X182">
        <v>1</v>
      </c>
    </row>
    <row r="184" spans="1:24" x14ac:dyDescent="0.45">
      <c r="A184">
        <v>91</v>
      </c>
      <c r="B184" t="s">
        <v>89</v>
      </c>
      <c r="C184" t="s">
        <v>241</v>
      </c>
      <c r="D184">
        <v>60.38</v>
      </c>
      <c r="E184">
        <v>0</v>
      </c>
      <c r="F184">
        <v>170</v>
      </c>
      <c r="G184">
        <v>73</v>
      </c>
      <c r="H184">
        <v>25.26</v>
      </c>
      <c r="I184">
        <f>(7+8+5+7)/4</f>
        <v>6.75</v>
      </c>
      <c r="J184" t="s">
        <v>295</v>
      </c>
      <c r="K184" t="s">
        <v>388</v>
      </c>
      <c r="M184">
        <v>0</v>
      </c>
      <c r="N184">
        <v>91</v>
      </c>
      <c r="O184" t="s">
        <v>89</v>
      </c>
      <c r="P184" t="s">
        <v>241</v>
      </c>
      <c r="Q184">
        <v>61.44</v>
      </c>
      <c r="R184">
        <v>0</v>
      </c>
      <c r="S184">
        <v>170</v>
      </c>
      <c r="T184">
        <v>73</v>
      </c>
      <c r="U184">
        <v>25.26</v>
      </c>
      <c r="V184">
        <f>(4+6+7+7)/4</f>
        <v>6</v>
      </c>
      <c r="X184">
        <v>0</v>
      </c>
    </row>
    <row r="186" spans="1:24" x14ac:dyDescent="0.45">
      <c r="A186">
        <v>92</v>
      </c>
      <c r="B186" t="s">
        <v>90</v>
      </c>
      <c r="C186" t="s">
        <v>202</v>
      </c>
      <c r="D186">
        <v>59.74</v>
      </c>
      <c r="E186">
        <v>0</v>
      </c>
      <c r="F186">
        <v>165</v>
      </c>
      <c r="G186">
        <v>66</v>
      </c>
      <c r="H186">
        <v>24.24</v>
      </c>
      <c r="I186">
        <f>(5+6+6+8)/4</f>
        <v>6.25</v>
      </c>
      <c r="J186" t="s">
        <v>298</v>
      </c>
      <c r="K186" t="s">
        <v>432</v>
      </c>
      <c r="M186">
        <v>0</v>
      </c>
      <c r="N186">
        <v>92</v>
      </c>
      <c r="O186" t="s">
        <v>90</v>
      </c>
      <c r="P186" t="s">
        <v>202</v>
      </c>
      <c r="Q186">
        <v>60.84</v>
      </c>
      <c r="R186">
        <v>0</v>
      </c>
      <c r="S186">
        <v>165</v>
      </c>
      <c r="T186">
        <v>68</v>
      </c>
      <c r="U186">
        <v>24.98</v>
      </c>
      <c r="V186">
        <f>(0+0+0+0)/4</f>
        <v>0</v>
      </c>
      <c r="X186">
        <v>0</v>
      </c>
    </row>
    <row r="188" spans="1:24" x14ac:dyDescent="0.45">
      <c r="A188">
        <v>93</v>
      </c>
      <c r="B188" t="s">
        <v>91</v>
      </c>
      <c r="C188" t="s">
        <v>246</v>
      </c>
      <c r="D188">
        <v>76.48</v>
      </c>
      <c r="E188">
        <v>1</v>
      </c>
      <c r="F188">
        <v>158</v>
      </c>
      <c r="G188">
        <v>93</v>
      </c>
      <c r="H188">
        <v>37.25</v>
      </c>
      <c r="I188">
        <f>(6+8+3+5)/4</f>
        <v>5.5</v>
      </c>
      <c r="J188" t="s">
        <v>354</v>
      </c>
      <c r="K188" t="s">
        <v>388</v>
      </c>
      <c r="M188">
        <v>0</v>
      </c>
      <c r="N188">
        <v>93</v>
      </c>
      <c r="O188" t="s">
        <v>91</v>
      </c>
      <c r="P188" t="s">
        <v>246</v>
      </c>
      <c r="Q188">
        <v>77.56</v>
      </c>
      <c r="R188">
        <v>1</v>
      </c>
      <c r="S188">
        <v>158</v>
      </c>
      <c r="T188">
        <v>93</v>
      </c>
      <c r="U188">
        <v>37.25</v>
      </c>
      <c r="V188">
        <f>(2+2+0+0)/4</f>
        <v>1</v>
      </c>
      <c r="X188">
        <v>0</v>
      </c>
    </row>
    <row r="190" spans="1:24" x14ac:dyDescent="0.45">
      <c r="A190">
        <v>94</v>
      </c>
      <c r="B190" t="s">
        <v>92</v>
      </c>
      <c r="C190" t="s">
        <v>210</v>
      </c>
      <c r="D190">
        <v>86.9</v>
      </c>
      <c r="E190">
        <v>1</v>
      </c>
      <c r="F190">
        <v>164</v>
      </c>
      <c r="G190">
        <v>50</v>
      </c>
      <c r="H190">
        <v>18.59</v>
      </c>
      <c r="I190">
        <f>(8+8+5+5)/4</f>
        <v>6.5</v>
      </c>
      <c r="J190" t="s">
        <v>355</v>
      </c>
      <c r="K190" t="s">
        <v>388</v>
      </c>
      <c r="M190">
        <v>0</v>
      </c>
      <c r="N190">
        <v>94</v>
      </c>
      <c r="O190" t="s">
        <v>92</v>
      </c>
      <c r="P190" t="s">
        <v>210</v>
      </c>
      <c r="Q190">
        <v>87.9</v>
      </c>
      <c r="R190">
        <v>1</v>
      </c>
      <c r="S190">
        <v>164</v>
      </c>
      <c r="T190">
        <v>50</v>
      </c>
      <c r="U190">
        <v>18.59</v>
      </c>
      <c r="V190">
        <f>(0+0+0+0)/4</f>
        <v>0</v>
      </c>
      <c r="X190">
        <v>0</v>
      </c>
    </row>
    <row r="192" spans="1:24" x14ac:dyDescent="0.45">
      <c r="A192">
        <v>95</v>
      </c>
      <c r="B192" t="s">
        <v>93</v>
      </c>
      <c r="C192" t="s">
        <v>172</v>
      </c>
      <c r="D192">
        <v>71.12</v>
      </c>
      <c r="E192">
        <v>1</v>
      </c>
      <c r="F192">
        <v>158</v>
      </c>
      <c r="G192">
        <v>90</v>
      </c>
      <c r="H192">
        <v>36.049999999999997</v>
      </c>
      <c r="I192">
        <f>(7+6+6+0)/4</f>
        <v>4.75</v>
      </c>
      <c r="J192" t="s">
        <v>356</v>
      </c>
      <c r="K192" t="s">
        <v>433</v>
      </c>
      <c r="M192">
        <v>0</v>
      </c>
      <c r="N192">
        <v>95</v>
      </c>
      <c r="O192" t="s">
        <v>93</v>
      </c>
      <c r="P192" t="s">
        <v>172</v>
      </c>
      <c r="Q192">
        <v>72.290000000000006</v>
      </c>
      <c r="R192">
        <v>1</v>
      </c>
      <c r="S192">
        <v>158</v>
      </c>
      <c r="T192">
        <v>77</v>
      </c>
      <c r="U192">
        <v>30.84</v>
      </c>
      <c r="V192">
        <f>(2+4+2+0)/4</f>
        <v>2</v>
      </c>
      <c r="X192">
        <v>0</v>
      </c>
    </row>
    <row r="194" spans="1:24" x14ac:dyDescent="0.45">
      <c r="A194">
        <v>96</v>
      </c>
      <c r="B194" t="s">
        <v>94</v>
      </c>
      <c r="C194" t="s">
        <v>247</v>
      </c>
      <c r="D194">
        <v>78.56</v>
      </c>
      <c r="E194">
        <v>0</v>
      </c>
      <c r="F194">
        <v>161</v>
      </c>
      <c r="G194">
        <v>60</v>
      </c>
      <c r="H194">
        <v>23.15</v>
      </c>
      <c r="I194">
        <f>(8+8+2+5)/4</f>
        <v>5.75</v>
      </c>
      <c r="J194" t="s">
        <v>298</v>
      </c>
      <c r="K194" t="s">
        <v>388</v>
      </c>
      <c r="M194">
        <v>0</v>
      </c>
      <c r="N194">
        <v>96</v>
      </c>
      <c r="O194" t="s">
        <v>94</v>
      </c>
      <c r="P194" t="s">
        <v>247</v>
      </c>
      <c r="Q194">
        <v>79.709999999999994</v>
      </c>
      <c r="R194">
        <v>0</v>
      </c>
      <c r="S194">
        <v>161</v>
      </c>
      <c r="T194">
        <v>61</v>
      </c>
      <c r="U194">
        <v>23.53</v>
      </c>
      <c r="V194">
        <f>(0+0+0+0)/4</f>
        <v>0</v>
      </c>
      <c r="X194">
        <v>0</v>
      </c>
    </row>
    <row r="196" spans="1:24" x14ac:dyDescent="0.45">
      <c r="A196">
        <v>97</v>
      </c>
      <c r="B196" t="s">
        <v>95</v>
      </c>
      <c r="C196" t="s">
        <v>248</v>
      </c>
      <c r="D196">
        <v>73.13</v>
      </c>
      <c r="E196">
        <v>1</v>
      </c>
      <c r="F196">
        <v>149</v>
      </c>
      <c r="G196">
        <v>64</v>
      </c>
      <c r="H196">
        <v>28.83</v>
      </c>
      <c r="I196">
        <f>(4+6+4+4)/4</f>
        <v>4.5</v>
      </c>
      <c r="J196" t="s">
        <v>303</v>
      </c>
      <c r="K196" t="s">
        <v>401</v>
      </c>
      <c r="M196">
        <v>1</v>
      </c>
      <c r="N196">
        <v>97</v>
      </c>
      <c r="O196" t="s">
        <v>95</v>
      </c>
      <c r="P196" t="s">
        <v>248</v>
      </c>
      <c r="Q196">
        <v>74.16</v>
      </c>
      <c r="R196">
        <v>1</v>
      </c>
      <c r="S196">
        <v>149</v>
      </c>
      <c r="T196">
        <v>64</v>
      </c>
      <c r="U196">
        <v>28.83</v>
      </c>
      <c r="V196">
        <f>(5+5+0+4)/4</f>
        <v>3.5</v>
      </c>
      <c r="X196">
        <v>1</v>
      </c>
    </row>
    <row r="198" spans="1:24" x14ac:dyDescent="0.45">
      <c r="A198">
        <v>98</v>
      </c>
      <c r="B198" t="s">
        <v>96</v>
      </c>
      <c r="C198" t="s">
        <v>195</v>
      </c>
      <c r="D198">
        <v>80.680000000000007</v>
      </c>
      <c r="E198">
        <v>1</v>
      </c>
      <c r="F198">
        <v>157</v>
      </c>
      <c r="G198">
        <v>60</v>
      </c>
      <c r="H198">
        <v>24.34</v>
      </c>
      <c r="I198">
        <f>(4+6+2+5)/4</f>
        <v>4.25</v>
      </c>
      <c r="J198" t="s">
        <v>348</v>
      </c>
      <c r="K198" t="s">
        <v>434</v>
      </c>
      <c r="M198">
        <v>0</v>
      </c>
      <c r="N198">
        <v>98</v>
      </c>
      <c r="O198" t="s">
        <v>96</v>
      </c>
      <c r="P198" t="s">
        <v>195</v>
      </c>
      <c r="Q198">
        <v>81.75</v>
      </c>
      <c r="R198">
        <v>1</v>
      </c>
      <c r="S198">
        <v>157</v>
      </c>
      <c r="T198">
        <v>60</v>
      </c>
      <c r="U198">
        <v>24.34</v>
      </c>
      <c r="V198">
        <f>(1+1+1+2)/4</f>
        <v>1.25</v>
      </c>
      <c r="X198">
        <v>0</v>
      </c>
    </row>
    <row r="200" spans="1:24" x14ac:dyDescent="0.45">
      <c r="A200">
        <v>99</v>
      </c>
      <c r="B200" t="s">
        <v>97</v>
      </c>
      <c r="C200" t="s">
        <v>172</v>
      </c>
      <c r="D200">
        <v>87.21</v>
      </c>
      <c r="E200">
        <v>1</v>
      </c>
      <c r="F200">
        <v>176</v>
      </c>
      <c r="G200">
        <v>68</v>
      </c>
      <c r="H200">
        <v>21.95</v>
      </c>
      <c r="I200">
        <f>(6+7+6+7)/4</f>
        <v>6.5</v>
      </c>
      <c r="J200" t="s">
        <v>357</v>
      </c>
      <c r="K200" t="s">
        <v>388</v>
      </c>
      <c r="M200">
        <v>0</v>
      </c>
      <c r="N200">
        <v>99</v>
      </c>
      <c r="O200" t="s">
        <v>97</v>
      </c>
      <c r="P200" t="s">
        <v>172</v>
      </c>
      <c r="Q200">
        <v>88.23</v>
      </c>
      <c r="R200">
        <v>1</v>
      </c>
      <c r="S200">
        <v>176</v>
      </c>
      <c r="T200">
        <v>70</v>
      </c>
      <c r="U200">
        <v>22.6</v>
      </c>
      <c r="V200">
        <f>(0+0+0+0)/4</f>
        <v>0</v>
      </c>
      <c r="X200">
        <v>0</v>
      </c>
    </row>
    <row r="202" spans="1:24" x14ac:dyDescent="0.45">
      <c r="A202">
        <v>100</v>
      </c>
      <c r="B202" t="s">
        <v>98</v>
      </c>
      <c r="C202" t="s">
        <v>249</v>
      </c>
      <c r="D202">
        <v>71.86</v>
      </c>
      <c r="E202">
        <v>1</v>
      </c>
      <c r="F202">
        <v>152</v>
      </c>
      <c r="G202">
        <v>52</v>
      </c>
      <c r="H202">
        <v>22.51</v>
      </c>
      <c r="I202">
        <f>(5+5+3+3)/4</f>
        <v>4</v>
      </c>
      <c r="J202" t="s">
        <v>332</v>
      </c>
      <c r="K202" t="s">
        <v>435</v>
      </c>
      <c r="M202">
        <v>1</v>
      </c>
      <c r="N202">
        <v>100</v>
      </c>
      <c r="O202" t="s">
        <v>98</v>
      </c>
      <c r="P202" t="s">
        <v>249</v>
      </c>
      <c r="Q202">
        <v>72.95</v>
      </c>
      <c r="R202">
        <v>1</v>
      </c>
      <c r="S202">
        <v>152</v>
      </c>
      <c r="T202">
        <v>52</v>
      </c>
      <c r="U202">
        <v>22.51</v>
      </c>
      <c r="V202">
        <f>(0+0+0+0)/4</f>
        <v>0</v>
      </c>
      <c r="X202">
        <v>1</v>
      </c>
    </row>
    <row r="204" spans="1:24" x14ac:dyDescent="0.45">
      <c r="A204">
        <v>101</v>
      </c>
      <c r="B204" t="s">
        <v>99</v>
      </c>
      <c r="C204" t="s">
        <v>250</v>
      </c>
      <c r="D204">
        <v>79.62</v>
      </c>
      <c r="E204">
        <v>1</v>
      </c>
      <c r="F204">
        <v>159</v>
      </c>
      <c r="G204">
        <v>72</v>
      </c>
      <c r="H204">
        <v>28.48</v>
      </c>
      <c r="I204">
        <f>(5+3+1+1)/4</f>
        <v>2.5</v>
      </c>
      <c r="J204" t="s">
        <v>297</v>
      </c>
      <c r="K204" t="s">
        <v>388</v>
      </c>
      <c r="M204">
        <v>0</v>
      </c>
      <c r="N204">
        <v>101</v>
      </c>
      <c r="O204" t="s">
        <v>99</v>
      </c>
      <c r="P204" t="s">
        <v>250</v>
      </c>
      <c r="Q204">
        <v>80.73</v>
      </c>
      <c r="R204">
        <v>1</v>
      </c>
      <c r="S204">
        <v>159</v>
      </c>
      <c r="T204">
        <v>69</v>
      </c>
      <c r="U204">
        <v>27.29</v>
      </c>
      <c r="V204">
        <f>(0+0+0+1)/4</f>
        <v>0.25</v>
      </c>
      <c r="X204">
        <v>0</v>
      </c>
    </row>
    <row r="206" spans="1:24" x14ac:dyDescent="0.45">
      <c r="A206">
        <v>102</v>
      </c>
      <c r="B206" t="s">
        <v>100</v>
      </c>
      <c r="C206" t="s">
        <v>251</v>
      </c>
      <c r="D206">
        <v>71.02</v>
      </c>
      <c r="E206">
        <v>0</v>
      </c>
      <c r="F206">
        <v>169</v>
      </c>
      <c r="G206">
        <v>68</v>
      </c>
      <c r="H206">
        <v>23.81</v>
      </c>
      <c r="I206">
        <f>(2+2+1+1)/4</f>
        <v>1.5</v>
      </c>
      <c r="J206" t="s">
        <v>332</v>
      </c>
      <c r="K206" t="s">
        <v>436</v>
      </c>
      <c r="M206">
        <v>1</v>
      </c>
      <c r="N206">
        <v>102</v>
      </c>
      <c r="O206" t="s">
        <v>100</v>
      </c>
      <c r="P206" t="s">
        <v>251</v>
      </c>
      <c r="Q206">
        <v>72.03</v>
      </c>
      <c r="R206">
        <v>0</v>
      </c>
      <c r="S206">
        <v>169</v>
      </c>
      <c r="T206">
        <v>64</v>
      </c>
      <c r="U206">
        <v>22.41</v>
      </c>
      <c r="V206">
        <f>(0+0+0+0)/4</f>
        <v>0</v>
      </c>
      <c r="X206">
        <v>1</v>
      </c>
    </row>
    <row r="208" spans="1:24" x14ac:dyDescent="0.45">
      <c r="A208">
        <v>103</v>
      </c>
      <c r="B208" t="s">
        <v>101</v>
      </c>
      <c r="C208" t="s">
        <v>252</v>
      </c>
      <c r="D208">
        <v>63.83</v>
      </c>
      <c r="E208">
        <v>0</v>
      </c>
      <c r="F208">
        <v>166</v>
      </c>
      <c r="G208">
        <v>78</v>
      </c>
      <c r="H208">
        <v>28.31</v>
      </c>
      <c r="I208">
        <f>(1+7+0+7)/4</f>
        <v>3.75</v>
      </c>
      <c r="J208" t="s">
        <v>332</v>
      </c>
      <c r="K208" t="s">
        <v>437</v>
      </c>
      <c r="M208">
        <v>1</v>
      </c>
      <c r="N208">
        <v>103</v>
      </c>
      <c r="O208" t="s">
        <v>101</v>
      </c>
      <c r="P208" t="s">
        <v>252</v>
      </c>
      <c r="Q208">
        <v>65.099999999999994</v>
      </c>
      <c r="R208">
        <v>0</v>
      </c>
      <c r="S208">
        <v>166</v>
      </c>
      <c r="T208">
        <v>78</v>
      </c>
      <c r="U208">
        <v>28.31</v>
      </c>
      <c r="V208">
        <f>(5+7+2+9)/4</f>
        <v>5.75</v>
      </c>
      <c r="X208">
        <v>1</v>
      </c>
    </row>
    <row r="210" spans="1:24" x14ac:dyDescent="0.45">
      <c r="A210">
        <v>104</v>
      </c>
      <c r="B210" t="s">
        <v>102</v>
      </c>
      <c r="C210" t="s">
        <v>253</v>
      </c>
      <c r="D210">
        <v>73.209999999999994</v>
      </c>
      <c r="E210">
        <v>1</v>
      </c>
      <c r="F210">
        <v>160</v>
      </c>
      <c r="G210">
        <v>85</v>
      </c>
      <c r="H210">
        <v>33.200000000000003</v>
      </c>
      <c r="I210">
        <f>(3+3+1+1)/4</f>
        <v>2</v>
      </c>
      <c r="J210" t="s">
        <v>358</v>
      </c>
      <c r="K210" t="s">
        <v>438</v>
      </c>
      <c r="M210">
        <v>0</v>
      </c>
      <c r="N210">
        <v>104</v>
      </c>
      <c r="O210" t="s">
        <v>102</v>
      </c>
      <c r="P210" t="s">
        <v>253</v>
      </c>
      <c r="Q210">
        <v>74.38</v>
      </c>
      <c r="R210">
        <v>1</v>
      </c>
      <c r="S210">
        <v>160</v>
      </c>
      <c r="T210">
        <v>83</v>
      </c>
      <c r="U210">
        <v>32.42</v>
      </c>
      <c r="V210">
        <f>(0+0+0+0)/4</f>
        <v>0</v>
      </c>
      <c r="X210">
        <v>0</v>
      </c>
    </row>
    <row r="212" spans="1:24" x14ac:dyDescent="0.45">
      <c r="A212">
        <v>105</v>
      </c>
      <c r="B212" t="s">
        <v>103</v>
      </c>
      <c r="C212" t="s">
        <v>213</v>
      </c>
      <c r="D212">
        <v>64.31</v>
      </c>
      <c r="E212">
        <v>1</v>
      </c>
      <c r="F212">
        <v>163</v>
      </c>
      <c r="G212">
        <v>120</v>
      </c>
      <c r="H212">
        <v>45.17</v>
      </c>
      <c r="I212">
        <f>(0+2+0+0)/4</f>
        <v>0.5</v>
      </c>
      <c r="J212" t="s">
        <v>359</v>
      </c>
      <c r="K212" t="s">
        <v>439</v>
      </c>
      <c r="M212">
        <v>1</v>
      </c>
      <c r="N212">
        <v>105</v>
      </c>
      <c r="O212" t="s">
        <v>103</v>
      </c>
      <c r="P212" t="s">
        <v>213</v>
      </c>
      <c r="Q212">
        <v>65.400000000000006</v>
      </c>
      <c r="R212">
        <v>1</v>
      </c>
      <c r="S212">
        <v>163</v>
      </c>
      <c r="T212">
        <v>120</v>
      </c>
      <c r="U212">
        <v>45.17</v>
      </c>
      <c r="V212">
        <f>(0+0+0+0)/4</f>
        <v>0</v>
      </c>
      <c r="X212">
        <v>1</v>
      </c>
    </row>
    <row r="214" spans="1:24" x14ac:dyDescent="0.45">
      <c r="A214">
        <v>106</v>
      </c>
      <c r="B214" t="s">
        <v>104</v>
      </c>
      <c r="C214" t="s">
        <v>254</v>
      </c>
      <c r="D214">
        <v>70.819999999999993</v>
      </c>
      <c r="E214">
        <v>0</v>
      </c>
      <c r="F214">
        <v>172</v>
      </c>
      <c r="G214">
        <v>103</v>
      </c>
      <c r="H214">
        <v>34.82</v>
      </c>
      <c r="I214">
        <f>(6+7+3+3)/4</f>
        <v>4.75</v>
      </c>
      <c r="J214" t="s">
        <v>360</v>
      </c>
      <c r="K214" t="s">
        <v>440</v>
      </c>
      <c r="M214">
        <v>0</v>
      </c>
      <c r="N214">
        <v>106</v>
      </c>
      <c r="O214" t="s">
        <v>104</v>
      </c>
      <c r="P214" t="s">
        <v>254</v>
      </c>
      <c r="Q214">
        <v>72.040000000000006</v>
      </c>
      <c r="R214">
        <v>0</v>
      </c>
      <c r="S214">
        <v>171</v>
      </c>
      <c r="T214">
        <v>103</v>
      </c>
      <c r="U214">
        <v>35.22</v>
      </c>
      <c r="V214">
        <f>(0+0+1+4)/4</f>
        <v>1.25</v>
      </c>
      <c r="X214">
        <v>0</v>
      </c>
    </row>
    <row r="216" spans="1:24" x14ac:dyDescent="0.45">
      <c r="A216">
        <v>107</v>
      </c>
      <c r="B216" t="s">
        <v>105</v>
      </c>
      <c r="C216" t="s">
        <v>255</v>
      </c>
      <c r="D216">
        <v>71.36</v>
      </c>
      <c r="E216">
        <v>0</v>
      </c>
      <c r="F216">
        <v>183</v>
      </c>
      <c r="G216">
        <v>90</v>
      </c>
      <c r="H216">
        <v>26.87</v>
      </c>
      <c r="I216">
        <f>(3+3+3+5)/4</f>
        <v>3.5</v>
      </c>
      <c r="J216" t="s">
        <v>352</v>
      </c>
      <c r="K216" t="s">
        <v>441</v>
      </c>
      <c r="M216">
        <v>0</v>
      </c>
      <c r="N216">
        <v>107</v>
      </c>
      <c r="O216" t="s">
        <v>105</v>
      </c>
      <c r="P216" t="s">
        <v>255</v>
      </c>
      <c r="Q216">
        <v>72.430000000000007</v>
      </c>
      <c r="R216">
        <v>0</v>
      </c>
      <c r="S216">
        <v>183</v>
      </c>
      <c r="T216">
        <v>80</v>
      </c>
      <c r="U216">
        <v>23.89</v>
      </c>
      <c r="V216">
        <f>(0+0+0+0)/4</f>
        <v>0</v>
      </c>
      <c r="X216">
        <v>0</v>
      </c>
    </row>
    <row r="218" spans="1:24" x14ac:dyDescent="0.45">
      <c r="A218">
        <v>108</v>
      </c>
      <c r="B218" t="s">
        <v>106</v>
      </c>
      <c r="C218" t="s">
        <v>256</v>
      </c>
      <c r="D218">
        <v>80.930000000000007</v>
      </c>
      <c r="E218">
        <v>1</v>
      </c>
      <c r="F218">
        <v>145</v>
      </c>
      <c r="G218">
        <v>62</v>
      </c>
      <c r="H218">
        <v>29.49</v>
      </c>
      <c r="I218">
        <f>(6+8+3+3)/4</f>
        <v>5</v>
      </c>
      <c r="J218" t="s">
        <v>332</v>
      </c>
      <c r="K218" t="s">
        <v>388</v>
      </c>
      <c r="M218">
        <v>1</v>
      </c>
      <c r="N218">
        <v>108</v>
      </c>
      <c r="O218" t="s">
        <v>106</v>
      </c>
      <c r="P218" t="s">
        <v>256</v>
      </c>
      <c r="Q218">
        <v>81.98</v>
      </c>
      <c r="R218">
        <v>1</v>
      </c>
      <c r="S218">
        <v>145</v>
      </c>
      <c r="T218">
        <v>62</v>
      </c>
      <c r="U218">
        <v>29.49</v>
      </c>
      <c r="V218">
        <f>(0+0+0+0)/4</f>
        <v>0</v>
      </c>
      <c r="X218">
        <v>1</v>
      </c>
    </row>
    <row r="220" spans="1:24" x14ac:dyDescent="0.45">
      <c r="A220">
        <v>109</v>
      </c>
      <c r="B220" t="s">
        <v>107</v>
      </c>
      <c r="C220" t="s">
        <v>213</v>
      </c>
      <c r="D220">
        <v>60.09</v>
      </c>
      <c r="E220">
        <v>0</v>
      </c>
      <c r="F220">
        <v>162</v>
      </c>
      <c r="G220">
        <v>80</v>
      </c>
      <c r="H220">
        <v>30.48</v>
      </c>
      <c r="I220">
        <f>(3+5+1+1)/4</f>
        <v>2.5</v>
      </c>
      <c r="J220" t="s">
        <v>361</v>
      </c>
      <c r="K220" t="s">
        <v>388</v>
      </c>
      <c r="M220">
        <v>1</v>
      </c>
      <c r="N220">
        <v>109</v>
      </c>
      <c r="O220" t="s">
        <v>107</v>
      </c>
      <c r="P220" t="s">
        <v>213</v>
      </c>
      <c r="Q220">
        <v>330.78</v>
      </c>
      <c r="R220">
        <v>0</v>
      </c>
      <c r="S220">
        <v>162</v>
      </c>
      <c r="T220">
        <v>76</v>
      </c>
      <c r="U220">
        <v>28.96</v>
      </c>
      <c r="V220">
        <f>(0+0+0+0)/4</f>
        <v>0</v>
      </c>
      <c r="X220">
        <v>1</v>
      </c>
    </row>
    <row r="222" spans="1:24" x14ac:dyDescent="0.45">
      <c r="A222">
        <v>110</v>
      </c>
      <c r="B222" t="s">
        <v>108</v>
      </c>
      <c r="C222" t="s">
        <v>201</v>
      </c>
      <c r="D222">
        <v>75.88</v>
      </c>
      <c r="E222">
        <v>0</v>
      </c>
      <c r="F222">
        <v>185</v>
      </c>
      <c r="G222">
        <v>87</v>
      </c>
      <c r="H222">
        <v>25.42</v>
      </c>
      <c r="I222">
        <f>(5+6+3+5)/4</f>
        <v>4.75</v>
      </c>
      <c r="J222" t="s">
        <v>297</v>
      </c>
      <c r="K222" t="s">
        <v>442</v>
      </c>
      <c r="M222">
        <v>0</v>
      </c>
      <c r="N222">
        <v>110</v>
      </c>
      <c r="O222" t="s">
        <v>108</v>
      </c>
      <c r="P222" t="s">
        <v>201</v>
      </c>
      <c r="Q222">
        <v>77.069999999999993</v>
      </c>
      <c r="R222">
        <v>0</v>
      </c>
      <c r="S222">
        <v>185</v>
      </c>
      <c r="T222">
        <v>87</v>
      </c>
      <c r="U222">
        <v>25.42</v>
      </c>
      <c r="V222">
        <f>(0+0+0+0)/4</f>
        <v>0</v>
      </c>
      <c r="X222">
        <v>0</v>
      </c>
    </row>
    <row r="224" spans="1:24" x14ac:dyDescent="0.45">
      <c r="A224">
        <v>111</v>
      </c>
      <c r="B224" t="s">
        <v>109</v>
      </c>
      <c r="C224" t="s">
        <v>257</v>
      </c>
      <c r="D224">
        <v>67.8</v>
      </c>
      <c r="E224">
        <v>1</v>
      </c>
      <c r="F224">
        <v>170</v>
      </c>
      <c r="G224">
        <v>97</v>
      </c>
      <c r="H224">
        <v>33.56</v>
      </c>
      <c r="I224">
        <f>(5+5+5+2)/4</f>
        <v>4.25</v>
      </c>
      <c r="J224" t="s">
        <v>362</v>
      </c>
      <c r="K224" t="s">
        <v>443</v>
      </c>
      <c r="M224">
        <v>1</v>
      </c>
      <c r="N224">
        <v>111</v>
      </c>
      <c r="O224" t="s">
        <v>109</v>
      </c>
      <c r="P224" t="s">
        <v>257</v>
      </c>
      <c r="Q224">
        <v>68.95</v>
      </c>
      <c r="R224">
        <v>1</v>
      </c>
      <c r="S224">
        <v>170</v>
      </c>
      <c r="T224">
        <v>92</v>
      </c>
      <c r="U224">
        <v>31.83</v>
      </c>
      <c r="V224">
        <f>(1+0+0+1)/4</f>
        <v>0.5</v>
      </c>
      <c r="X224">
        <v>1</v>
      </c>
    </row>
    <row r="226" spans="1:24" x14ac:dyDescent="0.45">
      <c r="A226">
        <v>112</v>
      </c>
      <c r="B226" t="s">
        <v>110</v>
      </c>
      <c r="C226" t="s">
        <v>229</v>
      </c>
      <c r="D226">
        <v>55.51</v>
      </c>
      <c r="E226">
        <v>1</v>
      </c>
      <c r="F226">
        <v>164</v>
      </c>
      <c r="G226">
        <v>82</v>
      </c>
      <c r="H226">
        <v>30.49</v>
      </c>
      <c r="I226">
        <f>(9+9+9+9)/4</f>
        <v>9</v>
      </c>
      <c r="J226" t="s">
        <v>298</v>
      </c>
      <c r="K226" t="s">
        <v>388</v>
      </c>
      <c r="M226">
        <v>0</v>
      </c>
      <c r="N226">
        <v>112</v>
      </c>
      <c r="O226" t="s">
        <v>110</v>
      </c>
      <c r="P226" t="s">
        <v>229</v>
      </c>
      <c r="Q226">
        <v>56.58</v>
      </c>
      <c r="R226">
        <v>1</v>
      </c>
      <c r="S226">
        <v>164</v>
      </c>
      <c r="T226">
        <v>82</v>
      </c>
      <c r="U226">
        <v>30.49</v>
      </c>
      <c r="V226">
        <f>(7+7+5+7)/4</f>
        <v>6.5</v>
      </c>
      <c r="X226">
        <v>0</v>
      </c>
    </row>
    <row r="228" spans="1:24" x14ac:dyDescent="0.45">
      <c r="A228">
        <v>113</v>
      </c>
      <c r="B228" t="s">
        <v>111</v>
      </c>
      <c r="C228" t="s">
        <v>258</v>
      </c>
      <c r="D228">
        <v>76.73</v>
      </c>
      <c r="E228">
        <v>0</v>
      </c>
      <c r="F228">
        <v>185</v>
      </c>
      <c r="G228">
        <v>95</v>
      </c>
      <c r="H228">
        <v>27.76</v>
      </c>
      <c r="I228">
        <f>(2+3+1+1)/4</f>
        <v>1.75</v>
      </c>
      <c r="J228" t="s">
        <v>297</v>
      </c>
      <c r="K228" t="s">
        <v>444</v>
      </c>
      <c r="M228">
        <v>0</v>
      </c>
      <c r="N228">
        <v>113</v>
      </c>
      <c r="O228" t="s">
        <v>111</v>
      </c>
      <c r="P228" t="s">
        <v>258</v>
      </c>
      <c r="Q228">
        <v>77.78</v>
      </c>
      <c r="R228">
        <v>0</v>
      </c>
      <c r="S228">
        <v>185</v>
      </c>
      <c r="T228">
        <v>97</v>
      </c>
      <c r="U228">
        <v>28.34</v>
      </c>
      <c r="V228">
        <f>(0+0+0+0)/4</f>
        <v>0</v>
      </c>
      <c r="X228">
        <v>0</v>
      </c>
    </row>
    <row r="230" spans="1:24" x14ac:dyDescent="0.45">
      <c r="A230">
        <v>114</v>
      </c>
      <c r="B230" t="s">
        <v>112</v>
      </c>
      <c r="C230" t="s">
        <v>259</v>
      </c>
      <c r="D230">
        <v>79.34</v>
      </c>
      <c r="E230">
        <v>1</v>
      </c>
      <c r="F230">
        <v>159</v>
      </c>
      <c r="G230">
        <v>63</v>
      </c>
      <c r="H230">
        <v>24.92</v>
      </c>
      <c r="I230">
        <f>(6+6+6+6)/4</f>
        <v>6</v>
      </c>
      <c r="J230" t="s">
        <v>295</v>
      </c>
      <c r="K230" t="s">
        <v>388</v>
      </c>
      <c r="M230">
        <v>0</v>
      </c>
      <c r="N230">
        <v>114</v>
      </c>
      <c r="O230" t="s">
        <v>112</v>
      </c>
      <c r="P230" t="s">
        <v>259</v>
      </c>
      <c r="Q230">
        <v>80.42</v>
      </c>
      <c r="R230">
        <v>1</v>
      </c>
      <c r="S230">
        <v>159</v>
      </c>
      <c r="T230">
        <v>58</v>
      </c>
      <c r="U230">
        <v>22.94</v>
      </c>
      <c r="V230">
        <f>(0+0+0+0)/4</f>
        <v>0</v>
      </c>
      <c r="X230">
        <v>0</v>
      </c>
    </row>
    <row r="232" spans="1:24" x14ac:dyDescent="0.45">
      <c r="A232">
        <v>115</v>
      </c>
      <c r="B232" t="s">
        <v>113</v>
      </c>
      <c r="C232" t="s">
        <v>260</v>
      </c>
      <c r="D232">
        <v>85.84</v>
      </c>
      <c r="E232">
        <v>0</v>
      </c>
      <c r="F232">
        <v>160</v>
      </c>
      <c r="G232">
        <v>63</v>
      </c>
      <c r="H232">
        <v>24.61</v>
      </c>
      <c r="I232">
        <f>(5+6+7+5)/4</f>
        <v>5.75</v>
      </c>
      <c r="J232" t="s">
        <v>333</v>
      </c>
      <c r="K232" t="s">
        <v>388</v>
      </c>
      <c r="M232">
        <v>1</v>
      </c>
      <c r="N232">
        <v>115</v>
      </c>
      <c r="O232" t="s">
        <v>113</v>
      </c>
      <c r="P232" t="s">
        <v>260</v>
      </c>
      <c r="Q232">
        <v>86.89</v>
      </c>
      <c r="R232">
        <v>0</v>
      </c>
      <c r="S232">
        <v>160</v>
      </c>
      <c r="T232">
        <v>63</v>
      </c>
      <c r="U232">
        <v>24.61</v>
      </c>
      <c r="V232">
        <f>(0+0+0+0)/4</f>
        <v>0</v>
      </c>
      <c r="X232">
        <v>1</v>
      </c>
    </row>
    <row r="234" spans="1:24" x14ac:dyDescent="0.45">
      <c r="A234">
        <v>116</v>
      </c>
      <c r="B234" t="s">
        <v>114</v>
      </c>
      <c r="C234" t="s">
        <v>261</v>
      </c>
      <c r="D234">
        <v>61.22</v>
      </c>
      <c r="E234">
        <v>0</v>
      </c>
      <c r="F234">
        <v>172</v>
      </c>
      <c r="G234">
        <v>83</v>
      </c>
      <c r="H234">
        <v>28.06</v>
      </c>
      <c r="I234">
        <f>(8+9+9+9)/4</f>
        <v>8.75</v>
      </c>
      <c r="J234" t="s">
        <v>363</v>
      </c>
      <c r="K234" t="s">
        <v>445</v>
      </c>
      <c r="M234">
        <v>0</v>
      </c>
      <c r="N234">
        <v>116</v>
      </c>
      <c r="O234" t="s">
        <v>114</v>
      </c>
      <c r="P234" t="s">
        <v>261</v>
      </c>
      <c r="Q234">
        <v>62.29</v>
      </c>
      <c r="R234">
        <v>0</v>
      </c>
      <c r="S234">
        <v>172</v>
      </c>
      <c r="T234">
        <v>83</v>
      </c>
      <c r="U234">
        <v>28.06</v>
      </c>
      <c r="V234">
        <f>(8+8+7+8)/4</f>
        <v>7.75</v>
      </c>
      <c r="X234">
        <v>0</v>
      </c>
    </row>
    <row r="236" spans="1:24" x14ac:dyDescent="0.45">
      <c r="A236">
        <v>117</v>
      </c>
      <c r="B236" t="s">
        <v>18</v>
      </c>
      <c r="C236" t="s">
        <v>187</v>
      </c>
      <c r="D236">
        <v>90.44</v>
      </c>
      <c r="E236">
        <v>1</v>
      </c>
      <c r="F236">
        <v>150</v>
      </c>
      <c r="G236">
        <v>56</v>
      </c>
      <c r="H236">
        <v>24.89</v>
      </c>
      <c r="I236">
        <f>(7+8+5+7)/4</f>
        <v>6.75</v>
      </c>
      <c r="J236" t="s">
        <v>295</v>
      </c>
      <c r="K236" t="s">
        <v>394</v>
      </c>
      <c r="M236">
        <v>0</v>
      </c>
      <c r="N236">
        <v>117</v>
      </c>
      <c r="O236" t="s">
        <v>18</v>
      </c>
      <c r="P236" t="s">
        <v>187</v>
      </c>
      <c r="Q236">
        <v>91.65</v>
      </c>
      <c r="R236">
        <v>1</v>
      </c>
      <c r="S236">
        <v>150</v>
      </c>
      <c r="T236">
        <v>55</v>
      </c>
      <c r="U236">
        <v>24.44</v>
      </c>
      <c r="V236">
        <f>(0+2+0+0)/4</f>
        <v>0.5</v>
      </c>
      <c r="X236">
        <v>0</v>
      </c>
    </row>
    <row r="238" spans="1:24" x14ac:dyDescent="0.45">
      <c r="A238">
        <v>118</v>
      </c>
      <c r="B238" t="s">
        <v>115</v>
      </c>
      <c r="C238" t="s">
        <v>182</v>
      </c>
      <c r="D238">
        <v>66.16</v>
      </c>
      <c r="E238">
        <v>0</v>
      </c>
      <c r="F238">
        <v>178</v>
      </c>
      <c r="G238">
        <v>83</v>
      </c>
      <c r="H238">
        <v>26.2</v>
      </c>
      <c r="I238">
        <f>(4+4+4+4)/4</f>
        <v>4</v>
      </c>
      <c r="J238" t="s">
        <v>300</v>
      </c>
      <c r="K238" t="s">
        <v>388</v>
      </c>
      <c r="M238">
        <v>1</v>
      </c>
      <c r="N238">
        <v>118</v>
      </c>
      <c r="O238" t="s">
        <v>115</v>
      </c>
      <c r="P238" t="s">
        <v>182</v>
      </c>
      <c r="Q238">
        <v>67.48</v>
      </c>
      <c r="R238">
        <v>0</v>
      </c>
      <c r="S238">
        <v>178</v>
      </c>
      <c r="T238">
        <v>96</v>
      </c>
      <c r="U238">
        <v>30.3</v>
      </c>
      <c r="V238">
        <f>(0+0+0+0)/4</f>
        <v>0</v>
      </c>
      <c r="X238">
        <v>1</v>
      </c>
    </row>
    <row r="240" spans="1:24" x14ac:dyDescent="0.45">
      <c r="A240">
        <v>119</v>
      </c>
      <c r="B240" t="s">
        <v>116</v>
      </c>
      <c r="C240" t="s">
        <v>192</v>
      </c>
      <c r="D240">
        <v>66.150000000000006</v>
      </c>
      <c r="E240">
        <v>1</v>
      </c>
      <c r="F240">
        <v>157</v>
      </c>
      <c r="G240">
        <v>69</v>
      </c>
      <c r="H240">
        <v>27.99</v>
      </c>
      <c r="I240">
        <f>(5+5+0+0)/4</f>
        <v>2.5</v>
      </c>
      <c r="J240" t="s">
        <v>298</v>
      </c>
      <c r="K240" t="s">
        <v>388</v>
      </c>
      <c r="M240">
        <v>0</v>
      </c>
      <c r="N240">
        <v>119</v>
      </c>
      <c r="O240" t="s">
        <v>116</v>
      </c>
      <c r="P240" t="s">
        <v>192</v>
      </c>
      <c r="Q240">
        <v>67.45</v>
      </c>
      <c r="R240">
        <v>1</v>
      </c>
      <c r="S240">
        <v>157</v>
      </c>
      <c r="T240">
        <v>75</v>
      </c>
      <c r="U240">
        <v>30.43</v>
      </c>
      <c r="V240">
        <f>(1+2+1+1)/4</f>
        <v>1.25</v>
      </c>
      <c r="X240">
        <v>0</v>
      </c>
    </row>
    <row r="242" spans="1:24" x14ac:dyDescent="0.45">
      <c r="A242">
        <v>120</v>
      </c>
      <c r="B242" t="s">
        <v>117</v>
      </c>
      <c r="C242" t="s">
        <v>227</v>
      </c>
      <c r="D242">
        <v>82.27</v>
      </c>
      <c r="E242">
        <v>1</v>
      </c>
      <c r="F242">
        <v>156</v>
      </c>
      <c r="G242">
        <v>56</v>
      </c>
      <c r="H242">
        <v>23.01</v>
      </c>
      <c r="I242">
        <f>(8+9+8+8)/4</f>
        <v>8.25</v>
      </c>
      <c r="J242" t="s">
        <v>333</v>
      </c>
      <c r="K242" t="s">
        <v>446</v>
      </c>
      <c r="M242">
        <v>1</v>
      </c>
      <c r="N242">
        <v>120</v>
      </c>
      <c r="O242" t="s">
        <v>117</v>
      </c>
      <c r="P242" t="s">
        <v>227</v>
      </c>
      <c r="Q242">
        <v>83.45</v>
      </c>
      <c r="R242">
        <v>1</v>
      </c>
      <c r="S242">
        <v>156</v>
      </c>
      <c r="T242">
        <v>56</v>
      </c>
      <c r="U242">
        <v>23.01</v>
      </c>
      <c r="V242">
        <f>(0+0+0+7)/4</f>
        <v>1.75</v>
      </c>
      <c r="X242">
        <v>1</v>
      </c>
    </row>
    <row r="244" spans="1:24" x14ac:dyDescent="0.45">
      <c r="A244">
        <v>121</v>
      </c>
      <c r="B244" t="s">
        <v>118</v>
      </c>
      <c r="C244" t="s">
        <v>259</v>
      </c>
      <c r="D244">
        <v>70.849999999999994</v>
      </c>
      <c r="E244">
        <v>1</v>
      </c>
      <c r="F244">
        <v>152</v>
      </c>
      <c r="G244">
        <v>72</v>
      </c>
      <c r="H244">
        <v>31.16</v>
      </c>
      <c r="I244">
        <f>(5+6+5+7)/4</f>
        <v>5.75</v>
      </c>
      <c r="J244" t="s">
        <v>364</v>
      </c>
      <c r="K244" t="s">
        <v>388</v>
      </c>
      <c r="M244">
        <v>1</v>
      </c>
      <c r="N244">
        <v>121</v>
      </c>
      <c r="O244" t="s">
        <v>118</v>
      </c>
      <c r="P244" t="s">
        <v>259</v>
      </c>
      <c r="Q244">
        <v>72.06</v>
      </c>
      <c r="R244">
        <v>1</v>
      </c>
      <c r="S244">
        <v>152</v>
      </c>
      <c r="T244">
        <v>66</v>
      </c>
      <c r="U244">
        <v>28.57</v>
      </c>
      <c r="V244">
        <f>(0+0+0+0)/4</f>
        <v>0</v>
      </c>
      <c r="X244">
        <v>1</v>
      </c>
    </row>
    <row r="246" spans="1:24" x14ac:dyDescent="0.45">
      <c r="A246">
        <v>122</v>
      </c>
      <c r="B246" t="s">
        <v>119</v>
      </c>
      <c r="C246" t="s">
        <v>210</v>
      </c>
      <c r="D246">
        <v>74.61</v>
      </c>
      <c r="E246">
        <v>0</v>
      </c>
      <c r="F246">
        <v>161</v>
      </c>
      <c r="G246">
        <v>93</v>
      </c>
      <c r="H246">
        <v>35.880000000000003</v>
      </c>
      <c r="I246">
        <f>(5+4+2+1)/4</f>
        <v>3</v>
      </c>
      <c r="J246" t="s">
        <v>365</v>
      </c>
      <c r="K246" t="s">
        <v>388</v>
      </c>
      <c r="M246">
        <v>0</v>
      </c>
      <c r="N246">
        <v>122</v>
      </c>
      <c r="O246" t="s">
        <v>119</v>
      </c>
      <c r="P246" t="s">
        <v>210</v>
      </c>
      <c r="Q246">
        <v>75.66</v>
      </c>
      <c r="R246">
        <v>0</v>
      </c>
      <c r="S246">
        <v>161</v>
      </c>
      <c r="T246">
        <v>79</v>
      </c>
      <c r="U246">
        <v>30.48</v>
      </c>
      <c r="V246">
        <f>(0+0+0+0)/4</f>
        <v>0</v>
      </c>
      <c r="X246">
        <v>0</v>
      </c>
    </row>
    <row r="248" spans="1:24" x14ac:dyDescent="0.45">
      <c r="A248">
        <v>123</v>
      </c>
      <c r="B248" t="s">
        <v>120</v>
      </c>
      <c r="C248" t="s">
        <v>262</v>
      </c>
      <c r="D248">
        <v>75.849999999999994</v>
      </c>
      <c r="E248">
        <v>0</v>
      </c>
      <c r="F248">
        <v>180</v>
      </c>
      <c r="G248">
        <v>55</v>
      </c>
      <c r="H248">
        <v>16.98</v>
      </c>
      <c r="I248">
        <f>(7+6+2+3)/4</f>
        <v>4.5</v>
      </c>
      <c r="J248" t="s">
        <v>366</v>
      </c>
      <c r="K248" t="s">
        <v>388</v>
      </c>
      <c r="M248">
        <v>0</v>
      </c>
      <c r="N248">
        <v>123</v>
      </c>
      <c r="O248" t="s">
        <v>120</v>
      </c>
      <c r="P248" t="s">
        <v>262</v>
      </c>
      <c r="Q248">
        <v>77.099999999999994</v>
      </c>
      <c r="R248">
        <v>0</v>
      </c>
      <c r="S248">
        <v>180</v>
      </c>
      <c r="T248">
        <v>50</v>
      </c>
      <c r="U248">
        <v>15.43</v>
      </c>
      <c r="V248">
        <f>(0+1+0+0)/4</f>
        <v>0.25</v>
      </c>
      <c r="X248">
        <v>0</v>
      </c>
    </row>
    <row r="250" spans="1:24" x14ac:dyDescent="0.45">
      <c r="A250">
        <v>124</v>
      </c>
      <c r="B250" t="s">
        <v>121</v>
      </c>
      <c r="C250" t="s">
        <v>263</v>
      </c>
      <c r="D250">
        <v>56.09</v>
      </c>
      <c r="E250">
        <v>1</v>
      </c>
      <c r="F250">
        <v>167</v>
      </c>
      <c r="G250">
        <v>80</v>
      </c>
      <c r="H250">
        <v>28.69</v>
      </c>
      <c r="I250">
        <f>(6+6+6+6)/4</f>
        <v>6</v>
      </c>
      <c r="J250" t="s">
        <v>297</v>
      </c>
      <c r="K250" t="s">
        <v>388</v>
      </c>
      <c r="M250">
        <v>0</v>
      </c>
      <c r="N250">
        <v>124</v>
      </c>
      <c r="O250" t="s">
        <v>121</v>
      </c>
      <c r="P250" t="s">
        <v>263</v>
      </c>
      <c r="Q250">
        <v>57.28</v>
      </c>
      <c r="R250">
        <v>1</v>
      </c>
      <c r="S250">
        <v>162</v>
      </c>
      <c r="T250">
        <v>76</v>
      </c>
      <c r="U250">
        <v>28.96</v>
      </c>
      <c r="V250">
        <f>(0+0+0+0)/4</f>
        <v>0</v>
      </c>
      <c r="X250">
        <v>0</v>
      </c>
    </row>
    <row r="252" spans="1:24" x14ac:dyDescent="0.45">
      <c r="A252">
        <v>125</v>
      </c>
      <c r="B252" t="s">
        <v>122</v>
      </c>
      <c r="C252" t="s">
        <v>204</v>
      </c>
      <c r="D252">
        <v>81.81</v>
      </c>
      <c r="E252">
        <v>1</v>
      </c>
      <c r="F252">
        <v>165</v>
      </c>
      <c r="G252">
        <v>54</v>
      </c>
      <c r="H252">
        <v>19.829999999999998</v>
      </c>
      <c r="I252">
        <f>(5+5+5+5)/4</f>
        <v>5</v>
      </c>
      <c r="J252" t="s">
        <v>295</v>
      </c>
      <c r="K252" t="s">
        <v>447</v>
      </c>
      <c r="M252">
        <v>0</v>
      </c>
      <c r="N252">
        <v>125</v>
      </c>
      <c r="O252" t="s">
        <v>122</v>
      </c>
      <c r="P252" t="s">
        <v>204</v>
      </c>
      <c r="Q252">
        <v>83.19</v>
      </c>
      <c r="R252">
        <v>1</v>
      </c>
      <c r="S252">
        <v>165</v>
      </c>
      <c r="T252">
        <v>55</v>
      </c>
      <c r="U252">
        <v>20.2</v>
      </c>
      <c r="V252">
        <f>(0+0+0+4)/4</f>
        <v>1</v>
      </c>
      <c r="X252">
        <v>0</v>
      </c>
    </row>
    <row r="254" spans="1:24" x14ac:dyDescent="0.45">
      <c r="A254">
        <v>126</v>
      </c>
      <c r="B254" t="s">
        <v>123</v>
      </c>
      <c r="C254" t="s">
        <v>264</v>
      </c>
      <c r="D254">
        <v>86.93</v>
      </c>
      <c r="E254">
        <v>1</v>
      </c>
      <c r="F254">
        <v>154</v>
      </c>
      <c r="G254">
        <v>59.5</v>
      </c>
      <c r="H254">
        <v>25.09</v>
      </c>
      <c r="I254">
        <f>(5+8+2+2)/4</f>
        <v>4.25</v>
      </c>
      <c r="J254" t="s">
        <v>367</v>
      </c>
      <c r="K254" t="s">
        <v>448</v>
      </c>
      <c r="M254">
        <v>0</v>
      </c>
      <c r="N254">
        <v>126</v>
      </c>
      <c r="O254" t="s">
        <v>123</v>
      </c>
      <c r="P254" t="s">
        <v>264</v>
      </c>
      <c r="Q254">
        <v>88.25</v>
      </c>
      <c r="R254">
        <v>1</v>
      </c>
      <c r="S254">
        <v>154</v>
      </c>
      <c r="T254">
        <v>56</v>
      </c>
      <c r="U254">
        <v>23.61</v>
      </c>
      <c r="V254">
        <f>(0+0+0+0)/4</f>
        <v>0</v>
      </c>
      <c r="X254">
        <v>0</v>
      </c>
    </row>
    <row r="256" spans="1:24" x14ac:dyDescent="0.45">
      <c r="A256">
        <v>127</v>
      </c>
      <c r="B256" t="s">
        <v>124</v>
      </c>
      <c r="C256" t="s">
        <v>265</v>
      </c>
      <c r="D256">
        <v>64.55</v>
      </c>
      <c r="E256">
        <v>1</v>
      </c>
      <c r="F256">
        <v>158</v>
      </c>
      <c r="G256">
        <v>80</v>
      </c>
      <c r="H256">
        <v>32.049999999999997</v>
      </c>
      <c r="I256">
        <f>(8+8+8+8)/4</f>
        <v>8</v>
      </c>
      <c r="J256" t="s">
        <v>316</v>
      </c>
      <c r="K256" t="s">
        <v>449</v>
      </c>
      <c r="M256">
        <v>1</v>
      </c>
      <c r="N256">
        <v>127</v>
      </c>
      <c r="O256" t="s">
        <v>124</v>
      </c>
      <c r="P256" t="s">
        <v>265</v>
      </c>
      <c r="Q256">
        <v>65.680000000000007</v>
      </c>
      <c r="R256">
        <v>1</v>
      </c>
      <c r="S256">
        <v>158</v>
      </c>
      <c r="T256">
        <v>79</v>
      </c>
      <c r="U256">
        <v>31.65</v>
      </c>
      <c r="V256">
        <f>(5+5+2+0)/4</f>
        <v>3</v>
      </c>
      <c r="X256">
        <v>1</v>
      </c>
    </row>
    <row r="258" spans="1:24" x14ac:dyDescent="0.45">
      <c r="A258">
        <v>128</v>
      </c>
      <c r="B258" t="s">
        <v>125</v>
      </c>
      <c r="C258" t="s">
        <v>265</v>
      </c>
      <c r="D258">
        <v>55.55</v>
      </c>
      <c r="E258">
        <v>0</v>
      </c>
      <c r="F258">
        <v>180</v>
      </c>
      <c r="G258">
        <v>83</v>
      </c>
      <c r="H258">
        <v>25.62</v>
      </c>
      <c r="I258">
        <f>(5+5+4+5)/4</f>
        <v>4.75</v>
      </c>
      <c r="J258" t="s">
        <v>368</v>
      </c>
      <c r="K258" t="s">
        <v>450</v>
      </c>
      <c r="M258">
        <v>1</v>
      </c>
      <c r="N258">
        <v>128</v>
      </c>
      <c r="O258" t="s">
        <v>125</v>
      </c>
      <c r="P258" t="s">
        <v>265</v>
      </c>
      <c r="Q258">
        <v>56.63</v>
      </c>
      <c r="R258">
        <v>0</v>
      </c>
      <c r="S258">
        <v>180</v>
      </c>
      <c r="T258">
        <v>83</v>
      </c>
      <c r="U258">
        <v>25.62</v>
      </c>
      <c r="V258">
        <f>(4+4+3+3)/4</f>
        <v>3.5</v>
      </c>
      <c r="X258">
        <v>1</v>
      </c>
    </row>
    <row r="260" spans="1:24" x14ac:dyDescent="0.45">
      <c r="A260">
        <v>129</v>
      </c>
      <c r="B260" t="s">
        <v>126</v>
      </c>
      <c r="C260" t="s">
        <v>204</v>
      </c>
      <c r="D260">
        <v>86.98</v>
      </c>
      <c r="E260">
        <v>1</v>
      </c>
      <c r="F260">
        <v>162</v>
      </c>
      <c r="G260">
        <v>75</v>
      </c>
      <c r="H260">
        <v>28.58</v>
      </c>
      <c r="I260">
        <f>(5+6+5+5)/4</f>
        <v>5.25</v>
      </c>
      <c r="J260" t="s">
        <v>368</v>
      </c>
      <c r="K260" t="s">
        <v>451</v>
      </c>
      <c r="M260">
        <v>1</v>
      </c>
      <c r="N260">
        <v>129</v>
      </c>
      <c r="O260" t="s">
        <v>126</v>
      </c>
      <c r="P260" t="s">
        <v>204</v>
      </c>
      <c r="Q260">
        <v>88.11</v>
      </c>
      <c r="R260">
        <v>1</v>
      </c>
      <c r="S260">
        <v>162</v>
      </c>
      <c r="T260">
        <v>75</v>
      </c>
      <c r="U260">
        <v>28.58</v>
      </c>
      <c r="V260">
        <f>(0+0+0+0)/4</f>
        <v>0</v>
      </c>
      <c r="X260">
        <v>1</v>
      </c>
    </row>
    <row r="262" spans="1:24" x14ac:dyDescent="0.45">
      <c r="A262">
        <v>130</v>
      </c>
      <c r="B262" t="s">
        <v>127</v>
      </c>
      <c r="C262" t="s">
        <v>186</v>
      </c>
      <c r="D262">
        <v>84.4</v>
      </c>
      <c r="E262">
        <v>1</v>
      </c>
      <c r="F262">
        <v>155</v>
      </c>
      <c r="G262">
        <v>60</v>
      </c>
      <c r="H262">
        <v>24.97</v>
      </c>
      <c r="I262">
        <f>(3+3+3+3)/4</f>
        <v>3</v>
      </c>
      <c r="J262" t="s">
        <v>357</v>
      </c>
      <c r="K262" t="s">
        <v>388</v>
      </c>
      <c r="M262">
        <v>0</v>
      </c>
      <c r="N262">
        <v>130</v>
      </c>
      <c r="O262" t="s">
        <v>127</v>
      </c>
      <c r="P262" t="s">
        <v>186</v>
      </c>
      <c r="Q262">
        <v>85.55</v>
      </c>
      <c r="R262">
        <v>1</v>
      </c>
      <c r="S262">
        <v>155</v>
      </c>
      <c r="T262">
        <v>60</v>
      </c>
      <c r="U262">
        <v>24.97</v>
      </c>
      <c r="V262">
        <f>(0+1+0+0)/4</f>
        <v>0.25</v>
      </c>
      <c r="X262">
        <v>0</v>
      </c>
    </row>
    <row r="264" spans="1:24" x14ac:dyDescent="0.45">
      <c r="A264">
        <v>131</v>
      </c>
      <c r="B264" t="s">
        <v>128</v>
      </c>
      <c r="C264" t="s">
        <v>266</v>
      </c>
      <c r="D264">
        <v>41.03</v>
      </c>
      <c r="E264">
        <v>0</v>
      </c>
      <c r="F264">
        <v>151</v>
      </c>
      <c r="G264">
        <v>61</v>
      </c>
      <c r="H264">
        <v>26.75</v>
      </c>
      <c r="I264">
        <f>(6+6+6+6)/4</f>
        <v>6</v>
      </c>
      <c r="J264" t="s">
        <v>369</v>
      </c>
      <c r="K264" t="s">
        <v>452</v>
      </c>
      <c r="M264">
        <v>1</v>
      </c>
      <c r="N264">
        <v>131</v>
      </c>
      <c r="O264" t="s">
        <v>128</v>
      </c>
      <c r="P264" t="s">
        <v>266</v>
      </c>
      <c r="Q264">
        <v>42.23</v>
      </c>
      <c r="R264">
        <v>0</v>
      </c>
      <c r="S264">
        <v>151</v>
      </c>
      <c r="T264">
        <v>61</v>
      </c>
      <c r="U264">
        <v>26.75</v>
      </c>
      <c r="V264">
        <f>(5+4+5+4)/4</f>
        <v>4.5</v>
      </c>
      <c r="X264">
        <v>1</v>
      </c>
    </row>
    <row r="266" spans="1:24" x14ac:dyDescent="0.45">
      <c r="A266">
        <v>132</v>
      </c>
      <c r="B266" t="s">
        <v>129</v>
      </c>
      <c r="C266" t="s">
        <v>199</v>
      </c>
      <c r="D266">
        <v>75.36</v>
      </c>
      <c r="E266">
        <v>1</v>
      </c>
      <c r="F266">
        <v>153</v>
      </c>
      <c r="G266">
        <v>67</v>
      </c>
      <c r="H266">
        <v>28.62</v>
      </c>
      <c r="I266">
        <f>(5+5+5+3)/4</f>
        <v>4.5</v>
      </c>
      <c r="J266" t="s">
        <v>357</v>
      </c>
      <c r="K266" t="s">
        <v>388</v>
      </c>
      <c r="M266">
        <v>0</v>
      </c>
      <c r="N266">
        <v>132</v>
      </c>
      <c r="O266" t="s">
        <v>129</v>
      </c>
      <c r="P266" t="s">
        <v>199</v>
      </c>
      <c r="Q266">
        <v>76.53</v>
      </c>
      <c r="R266">
        <v>1</v>
      </c>
      <c r="S266">
        <v>153</v>
      </c>
      <c r="T266">
        <v>66</v>
      </c>
      <c r="U266">
        <v>28.19</v>
      </c>
      <c r="V266">
        <f>(0+0+0+0)/4</f>
        <v>0</v>
      </c>
      <c r="X266">
        <v>0</v>
      </c>
    </row>
    <row r="268" spans="1:24" x14ac:dyDescent="0.45">
      <c r="A268">
        <v>133</v>
      </c>
      <c r="B268" t="s">
        <v>130</v>
      </c>
      <c r="C268" t="s">
        <v>267</v>
      </c>
      <c r="D268">
        <v>57.41</v>
      </c>
      <c r="E268">
        <v>0</v>
      </c>
      <c r="F268">
        <v>178</v>
      </c>
      <c r="G268">
        <v>130</v>
      </c>
      <c r="H268">
        <v>41.03</v>
      </c>
      <c r="I268">
        <f>(3+5+3+7)/4</f>
        <v>4.5</v>
      </c>
      <c r="J268" t="s">
        <v>370</v>
      </c>
      <c r="K268" t="s">
        <v>453</v>
      </c>
      <c r="M268">
        <v>1</v>
      </c>
      <c r="N268">
        <v>133</v>
      </c>
      <c r="O268" t="s">
        <v>130</v>
      </c>
      <c r="P268" t="s">
        <v>267</v>
      </c>
      <c r="Q268">
        <v>58.46</v>
      </c>
      <c r="R268">
        <v>0</v>
      </c>
      <c r="S268">
        <v>178</v>
      </c>
      <c r="T268">
        <v>136</v>
      </c>
      <c r="U268">
        <v>42.92</v>
      </c>
      <c r="V268">
        <f>(0+0+0+3)/4</f>
        <v>0.75</v>
      </c>
      <c r="X268">
        <v>1</v>
      </c>
    </row>
    <row r="270" spans="1:24" x14ac:dyDescent="0.45">
      <c r="A270">
        <v>134</v>
      </c>
      <c r="B270" t="s">
        <v>131</v>
      </c>
      <c r="C270" t="s">
        <v>186</v>
      </c>
      <c r="D270">
        <v>79.59</v>
      </c>
      <c r="E270">
        <v>0</v>
      </c>
      <c r="F270">
        <v>172</v>
      </c>
      <c r="G270">
        <v>61</v>
      </c>
      <c r="H270">
        <v>20.62</v>
      </c>
      <c r="I270">
        <f>(8+9+8+8)/4</f>
        <v>8.25</v>
      </c>
      <c r="J270" t="s">
        <v>332</v>
      </c>
      <c r="K270" t="s">
        <v>454</v>
      </c>
      <c r="M270">
        <v>1</v>
      </c>
      <c r="N270">
        <v>134</v>
      </c>
      <c r="O270" t="s">
        <v>131</v>
      </c>
      <c r="P270" t="s">
        <v>186</v>
      </c>
      <c r="Q270">
        <v>80.680000000000007</v>
      </c>
      <c r="R270">
        <v>0</v>
      </c>
      <c r="S270">
        <v>172</v>
      </c>
      <c r="T270">
        <v>61</v>
      </c>
      <c r="U270">
        <v>20.62</v>
      </c>
      <c r="V270">
        <f>(0+0+0+0)/4</f>
        <v>0</v>
      </c>
      <c r="X270">
        <v>1</v>
      </c>
    </row>
    <row r="272" spans="1:24" x14ac:dyDescent="0.45">
      <c r="A272">
        <v>135</v>
      </c>
      <c r="B272" t="s">
        <v>132</v>
      </c>
      <c r="C272" t="s">
        <v>268</v>
      </c>
      <c r="D272">
        <v>74.760000000000005</v>
      </c>
      <c r="E272">
        <v>0</v>
      </c>
      <c r="F272">
        <v>174</v>
      </c>
      <c r="G272">
        <v>76</v>
      </c>
      <c r="H272">
        <v>25.1</v>
      </c>
      <c r="I272">
        <f>(2+3+2+2)/4</f>
        <v>2.25</v>
      </c>
      <c r="J272" t="s">
        <v>316</v>
      </c>
      <c r="K272" t="s">
        <v>388</v>
      </c>
      <c r="M272">
        <v>0</v>
      </c>
      <c r="N272">
        <v>135</v>
      </c>
      <c r="O272" t="s">
        <v>132</v>
      </c>
      <c r="P272" t="s">
        <v>268</v>
      </c>
      <c r="Q272">
        <v>75.83</v>
      </c>
      <c r="R272">
        <v>0</v>
      </c>
      <c r="S272">
        <v>174</v>
      </c>
      <c r="T272">
        <v>76</v>
      </c>
      <c r="U272">
        <v>25.1</v>
      </c>
      <c r="V272">
        <f>(0+0+1+0)/4</f>
        <v>0.25</v>
      </c>
      <c r="X272">
        <v>0</v>
      </c>
    </row>
    <row r="274" spans="1:24" x14ac:dyDescent="0.45">
      <c r="A274">
        <v>136</v>
      </c>
      <c r="B274" t="s">
        <v>133</v>
      </c>
      <c r="C274" t="s">
        <v>210</v>
      </c>
      <c r="D274">
        <v>72.92</v>
      </c>
      <c r="E274">
        <v>0</v>
      </c>
      <c r="F274">
        <v>178</v>
      </c>
      <c r="G274">
        <v>58</v>
      </c>
      <c r="H274">
        <v>18.309999999999999</v>
      </c>
      <c r="I274">
        <f>(5+7+0+2)/4</f>
        <v>3.5</v>
      </c>
      <c r="J274" t="s">
        <v>316</v>
      </c>
      <c r="K274" t="s">
        <v>388</v>
      </c>
      <c r="M274">
        <v>0</v>
      </c>
      <c r="N274">
        <v>136</v>
      </c>
      <c r="O274" t="s">
        <v>133</v>
      </c>
      <c r="P274" t="s">
        <v>210</v>
      </c>
      <c r="Q274">
        <v>73.97</v>
      </c>
      <c r="R274">
        <v>0</v>
      </c>
      <c r="S274">
        <v>178</v>
      </c>
      <c r="T274">
        <v>58</v>
      </c>
      <c r="U274">
        <v>18.309999999999999</v>
      </c>
      <c r="V274">
        <f>(0+0+0+0)/4</f>
        <v>0</v>
      </c>
      <c r="X274">
        <v>0</v>
      </c>
    </row>
    <row r="276" spans="1:24" x14ac:dyDescent="0.45">
      <c r="A276">
        <v>137</v>
      </c>
      <c r="B276" t="s">
        <v>134</v>
      </c>
      <c r="C276" t="s">
        <v>173</v>
      </c>
      <c r="D276">
        <v>88.74</v>
      </c>
      <c r="E276">
        <v>1</v>
      </c>
      <c r="F276">
        <v>155</v>
      </c>
      <c r="G276">
        <v>70</v>
      </c>
      <c r="H276">
        <v>29.14</v>
      </c>
      <c r="I276">
        <f>(7+8+7+7)/4</f>
        <v>7.25</v>
      </c>
      <c r="J276" t="s">
        <v>371</v>
      </c>
      <c r="K276" t="s">
        <v>388</v>
      </c>
      <c r="M276">
        <v>0</v>
      </c>
      <c r="N276">
        <v>137</v>
      </c>
      <c r="O276" t="s">
        <v>134</v>
      </c>
      <c r="P276" t="s">
        <v>173</v>
      </c>
      <c r="Q276">
        <v>89.79</v>
      </c>
      <c r="R276">
        <v>1</v>
      </c>
      <c r="S276">
        <v>155</v>
      </c>
      <c r="T276">
        <v>76</v>
      </c>
      <c r="U276">
        <v>31.63</v>
      </c>
      <c r="V276">
        <f>(0+0+0+0)/4</f>
        <v>0</v>
      </c>
      <c r="X276">
        <v>0</v>
      </c>
    </row>
    <row r="278" spans="1:24" x14ac:dyDescent="0.45">
      <c r="A278">
        <v>138</v>
      </c>
      <c r="B278" t="s">
        <v>135</v>
      </c>
      <c r="C278" t="s">
        <v>269</v>
      </c>
      <c r="D278">
        <v>62.84</v>
      </c>
      <c r="E278">
        <v>1</v>
      </c>
      <c r="F278">
        <v>167</v>
      </c>
      <c r="G278">
        <v>60.5</v>
      </c>
      <c r="H278">
        <v>21.69</v>
      </c>
      <c r="I278">
        <f>(9+8+9+8)/4</f>
        <v>8.5</v>
      </c>
      <c r="J278" t="s">
        <v>316</v>
      </c>
      <c r="K278" t="s">
        <v>455</v>
      </c>
      <c r="M278">
        <v>0</v>
      </c>
      <c r="N278">
        <v>138</v>
      </c>
      <c r="O278" t="s">
        <v>135</v>
      </c>
      <c r="P278" t="s">
        <v>269</v>
      </c>
      <c r="Q278">
        <v>64.010000000000005</v>
      </c>
      <c r="R278">
        <v>1</v>
      </c>
      <c r="S278">
        <v>167</v>
      </c>
      <c r="T278">
        <v>62</v>
      </c>
      <c r="U278">
        <v>22.23</v>
      </c>
      <c r="V278">
        <f>(6+6+6+6)/4</f>
        <v>6</v>
      </c>
      <c r="X278">
        <v>0</v>
      </c>
    </row>
    <row r="280" spans="1:24" x14ac:dyDescent="0.45">
      <c r="A280">
        <v>139</v>
      </c>
      <c r="B280" t="s">
        <v>136</v>
      </c>
      <c r="C280" t="s">
        <v>270</v>
      </c>
      <c r="D280">
        <v>77.72</v>
      </c>
      <c r="E280">
        <v>0</v>
      </c>
      <c r="F280">
        <v>180</v>
      </c>
      <c r="G280">
        <v>95</v>
      </c>
      <c r="H280">
        <v>29.32</v>
      </c>
      <c r="I280">
        <f>(5+5+1+0)/4</f>
        <v>2.75</v>
      </c>
      <c r="J280" t="s">
        <v>300</v>
      </c>
      <c r="K280" t="s">
        <v>456</v>
      </c>
      <c r="M280">
        <v>0</v>
      </c>
      <c r="N280">
        <v>139</v>
      </c>
      <c r="O280" t="s">
        <v>136</v>
      </c>
      <c r="P280" t="s">
        <v>270</v>
      </c>
      <c r="Q280">
        <v>78.849999999999994</v>
      </c>
      <c r="R280">
        <v>0</v>
      </c>
      <c r="S280">
        <v>180</v>
      </c>
      <c r="T280">
        <v>97</v>
      </c>
      <c r="U280">
        <v>29.94</v>
      </c>
      <c r="V280">
        <f>(0+0+0+0)/4</f>
        <v>0</v>
      </c>
      <c r="X280">
        <v>0</v>
      </c>
    </row>
    <row r="282" spans="1:24" x14ac:dyDescent="0.45">
      <c r="A282">
        <v>140</v>
      </c>
      <c r="B282" t="s">
        <v>137</v>
      </c>
      <c r="C282" t="s">
        <v>271</v>
      </c>
      <c r="D282">
        <v>76.55</v>
      </c>
      <c r="E282">
        <v>0</v>
      </c>
      <c r="F282">
        <v>180</v>
      </c>
      <c r="G282">
        <v>88</v>
      </c>
      <c r="H282">
        <v>27.16</v>
      </c>
      <c r="I282">
        <f>(0+0+0+0)/4</f>
        <v>0</v>
      </c>
      <c r="J282" t="s">
        <v>332</v>
      </c>
      <c r="K282" t="s">
        <v>457</v>
      </c>
      <c r="M282">
        <v>1</v>
      </c>
      <c r="N282">
        <v>140</v>
      </c>
      <c r="O282" t="s">
        <v>137</v>
      </c>
      <c r="P282" t="s">
        <v>271</v>
      </c>
      <c r="Q282">
        <v>77.650000000000006</v>
      </c>
      <c r="R282">
        <v>0</v>
      </c>
      <c r="S282">
        <v>180</v>
      </c>
      <c r="T282">
        <v>88</v>
      </c>
      <c r="U282">
        <v>27.16</v>
      </c>
      <c r="V282">
        <f>(3+0+0+0)/4</f>
        <v>0.75</v>
      </c>
      <c r="X282">
        <v>1</v>
      </c>
    </row>
    <row r="284" spans="1:24" x14ac:dyDescent="0.45">
      <c r="A284">
        <v>141</v>
      </c>
      <c r="B284" t="s">
        <v>138</v>
      </c>
      <c r="C284" t="s">
        <v>172</v>
      </c>
      <c r="D284">
        <v>81.16</v>
      </c>
      <c r="E284">
        <v>1</v>
      </c>
      <c r="F284">
        <v>153</v>
      </c>
      <c r="G284">
        <v>65</v>
      </c>
      <c r="H284">
        <v>27.77</v>
      </c>
      <c r="I284">
        <f>(3+3+3+3)/4</f>
        <v>3</v>
      </c>
      <c r="J284" t="s">
        <v>316</v>
      </c>
      <c r="K284" t="s">
        <v>388</v>
      </c>
      <c r="M284">
        <v>0</v>
      </c>
      <c r="N284">
        <v>141</v>
      </c>
      <c r="O284" t="s">
        <v>138</v>
      </c>
      <c r="P284" t="s">
        <v>172</v>
      </c>
      <c r="Q284">
        <v>82.26</v>
      </c>
      <c r="R284">
        <v>1</v>
      </c>
      <c r="S284">
        <v>153</v>
      </c>
      <c r="T284">
        <v>65</v>
      </c>
      <c r="U284">
        <v>27.77</v>
      </c>
      <c r="V284">
        <f>(0+0+0+0)/4</f>
        <v>0</v>
      </c>
      <c r="X284">
        <v>0</v>
      </c>
    </row>
    <row r="286" spans="1:24" x14ac:dyDescent="0.45">
      <c r="A286">
        <v>142</v>
      </c>
      <c r="B286" t="s">
        <v>139</v>
      </c>
      <c r="C286" t="s">
        <v>176</v>
      </c>
      <c r="D286">
        <v>58.92</v>
      </c>
      <c r="E286">
        <v>1</v>
      </c>
      <c r="F286">
        <v>148</v>
      </c>
      <c r="G286">
        <v>67</v>
      </c>
      <c r="H286">
        <v>30.59</v>
      </c>
      <c r="I286">
        <f>(8+8+9+8)/4</f>
        <v>8.25</v>
      </c>
      <c r="J286" t="s">
        <v>372</v>
      </c>
      <c r="K286" t="s">
        <v>388</v>
      </c>
      <c r="M286">
        <v>0</v>
      </c>
      <c r="N286">
        <v>142</v>
      </c>
      <c r="O286" t="s">
        <v>139</v>
      </c>
      <c r="P286" t="s">
        <v>176</v>
      </c>
      <c r="Q286">
        <v>60.03</v>
      </c>
      <c r="R286">
        <v>1</v>
      </c>
      <c r="S286">
        <v>148</v>
      </c>
      <c r="T286">
        <v>71</v>
      </c>
      <c r="U286">
        <v>32.409999999999997</v>
      </c>
      <c r="V286">
        <f>(7+8+8+9)/4</f>
        <v>8</v>
      </c>
      <c r="X286">
        <v>0</v>
      </c>
    </row>
    <row r="288" spans="1:24" x14ac:dyDescent="0.45">
      <c r="A288">
        <v>143</v>
      </c>
      <c r="B288" t="s">
        <v>140</v>
      </c>
      <c r="C288" t="s">
        <v>272</v>
      </c>
      <c r="D288">
        <v>72.430000000000007</v>
      </c>
      <c r="E288">
        <v>1</v>
      </c>
      <c r="F288">
        <v>160</v>
      </c>
      <c r="G288">
        <v>79</v>
      </c>
      <c r="H288">
        <v>30.86</v>
      </c>
      <c r="I288">
        <f>(3+6+1+1)/4</f>
        <v>2.75</v>
      </c>
      <c r="J288" t="s">
        <v>373</v>
      </c>
      <c r="K288" t="s">
        <v>388</v>
      </c>
      <c r="M288">
        <v>0</v>
      </c>
      <c r="N288">
        <v>143</v>
      </c>
      <c r="O288" t="s">
        <v>140</v>
      </c>
      <c r="P288" t="s">
        <v>272</v>
      </c>
      <c r="Q288">
        <v>73.5</v>
      </c>
      <c r="R288">
        <v>1</v>
      </c>
      <c r="S288">
        <v>160</v>
      </c>
      <c r="T288">
        <v>79</v>
      </c>
      <c r="U288">
        <v>30.86</v>
      </c>
      <c r="V288">
        <f>(0+0+0+0)/4</f>
        <v>0</v>
      </c>
      <c r="X288">
        <v>0</v>
      </c>
    </row>
    <row r="290" spans="1:24" x14ac:dyDescent="0.45">
      <c r="A290">
        <v>144</v>
      </c>
      <c r="B290" t="s">
        <v>141</v>
      </c>
      <c r="C290" t="s">
        <v>273</v>
      </c>
      <c r="D290">
        <v>77.23</v>
      </c>
      <c r="E290">
        <v>1</v>
      </c>
      <c r="F290">
        <v>160</v>
      </c>
      <c r="G290">
        <v>69</v>
      </c>
      <c r="H290">
        <v>26.95</v>
      </c>
      <c r="I290">
        <f>(7+7+7+7)/4</f>
        <v>7</v>
      </c>
      <c r="J290" t="s">
        <v>295</v>
      </c>
      <c r="K290" t="s">
        <v>458</v>
      </c>
      <c r="M290">
        <v>0</v>
      </c>
      <c r="N290">
        <v>144</v>
      </c>
      <c r="O290" t="s">
        <v>141</v>
      </c>
      <c r="P290" t="s">
        <v>273</v>
      </c>
      <c r="R290">
        <v>1</v>
      </c>
      <c r="X290">
        <v>0</v>
      </c>
    </row>
    <row r="292" spans="1:24" x14ac:dyDescent="0.45">
      <c r="A292">
        <v>145</v>
      </c>
      <c r="B292" t="s">
        <v>142</v>
      </c>
      <c r="C292" t="s">
        <v>274</v>
      </c>
      <c r="D292">
        <v>81.64</v>
      </c>
      <c r="E292">
        <v>1</v>
      </c>
      <c r="F292">
        <v>154</v>
      </c>
      <c r="G292">
        <v>64</v>
      </c>
      <c r="H292">
        <v>26.99</v>
      </c>
      <c r="I292">
        <f>(5+6+5+5)/4</f>
        <v>5.25</v>
      </c>
      <c r="J292" t="s">
        <v>374</v>
      </c>
      <c r="K292" t="s">
        <v>459</v>
      </c>
      <c r="M292">
        <v>0</v>
      </c>
      <c r="N292">
        <v>145</v>
      </c>
      <c r="O292" t="s">
        <v>142</v>
      </c>
      <c r="P292" t="s">
        <v>274</v>
      </c>
      <c r="R292">
        <v>1</v>
      </c>
      <c r="X292">
        <v>0</v>
      </c>
    </row>
    <row r="294" spans="1:24" x14ac:dyDescent="0.45">
      <c r="A294">
        <v>146</v>
      </c>
      <c r="B294" t="s">
        <v>143</v>
      </c>
      <c r="C294" t="s">
        <v>275</v>
      </c>
      <c r="D294">
        <v>53.04</v>
      </c>
      <c r="E294">
        <v>0</v>
      </c>
      <c r="F294">
        <v>152</v>
      </c>
      <c r="G294">
        <v>94</v>
      </c>
      <c r="H294">
        <v>40.69</v>
      </c>
      <c r="I294">
        <f>(7+7+7+7)/4</f>
        <v>7</v>
      </c>
      <c r="J294" t="s">
        <v>375</v>
      </c>
      <c r="K294" t="s">
        <v>460</v>
      </c>
      <c r="M294">
        <v>0</v>
      </c>
      <c r="N294">
        <v>146</v>
      </c>
      <c r="O294" t="s">
        <v>143</v>
      </c>
      <c r="P294" t="s">
        <v>275</v>
      </c>
      <c r="Q294">
        <v>54.1</v>
      </c>
      <c r="R294">
        <v>0</v>
      </c>
      <c r="S294">
        <v>152</v>
      </c>
      <c r="T294">
        <v>94</v>
      </c>
      <c r="U294">
        <v>40.69</v>
      </c>
      <c r="V294">
        <f>(4+5+5+6)/4</f>
        <v>5</v>
      </c>
      <c r="X294">
        <v>0</v>
      </c>
    </row>
    <row r="296" spans="1:24" x14ac:dyDescent="0.45">
      <c r="A296">
        <v>147</v>
      </c>
      <c r="B296" t="s">
        <v>144</v>
      </c>
      <c r="C296" t="s">
        <v>197</v>
      </c>
      <c r="D296">
        <v>66.45</v>
      </c>
      <c r="E296">
        <v>1</v>
      </c>
      <c r="F296">
        <v>157</v>
      </c>
      <c r="G296">
        <v>68</v>
      </c>
      <c r="H296">
        <v>27.59</v>
      </c>
      <c r="I296">
        <f>(6+4+5+5)/4</f>
        <v>5</v>
      </c>
      <c r="J296" t="s">
        <v>375</v>
      </c>
      <c r="K296" t="s">
        <v>461</v>
      </c>
      <c r="M296">
        <v>0</v>
      </c>
      <c r="N296">
        <v>147</v>
      </c>
      <c r="O296" t="s">
        <v>144</v>
      </c>
      <c r="P296" t="s">
        <v>197</v>
      </c>
      <c r="Q296">
        <v>67.540000000000006</v>
      </c>
      <c r="R296">
        <v>1</v>
      </c>
      <c r="S296">
        <v>157</v>
      </c>
      <c r="T296">
        <v>69</v>
      </c>
      <c r="U296">
        <v>27.99</v>
      </c>
      <c r="V296">
        <f>(0+0+0+0)/4</f>
        <v>0</v>
      </c>
      <c r="X296">
        <v>0</v>
      </c>
    </row>
    <row r="298" spans="1:24" x14ac:dyDescent="0.45">
      <c r="A298">
        <v>148</v>
      </c>
      <c r="B298" t="s">
        <v>145</v>
      </c>
      <c r="C298" t="s">
        <v>198</v>
      </c>
      <c r="D298">
        <v>73.98</v>
      </c>
      <c r="E298">
        <v>0</v>
      </c>
      <c r="F298">
        <v>173</v>
      </c>
      <c r="G298">
        <v>100</v>
      </c>
      <c r="H298">
        <v>33.409999999999997</v>
      </c>
      <c r="I298">
        <f>(3+5+2+3)/4</f>
        <v>3.25</v>
      </c>
      <c r="J298" t="s">
        <v>348</v>
      </c>
      <c r="K298" t="s">
        <v>462</v>
      </c>
      <c r="M298">
        <v>0</v>
      </c>
      <c r="N298">
        <v>148</v>
      </c>
      <c r="O298" t="s">
        <v>145</v>
      </c>
      <c r="P298" t="s">
        <v>198</v>
      </c>
      <c r="Q298">
        <v>75.33</v>
      </c>
      <c r="R298">
        <v>0</v>
      </c>
      <c r="S298">
        <v>173</v>
      </c>
      <c r="T298">
        <v>95</v>
      </c>
      <c r="U298">
        <v>31.74</v>
      </c>
      <c r="V298">
        <f>(0+0+0+0)/4</f>
        <v>0</v>
      </c>
      <c r="X298">
        <v>0</v>
      </c>
    </row>
    <row r="300" spans="1:24" x14ac:dyDescent="0.45">
      <c r="A300">
        <v>149</v>
      </c>
      <c r="B300" t="s">
        <v>146</v>
      </c>
      <c r="C300" t="s">
        <v>276</v>
      </c>
      <c r="D300">
        <v>64.17</v>
      </c>
      <c r="E300">
        <v>1</v>
      </c>
      <c r="F300">
        <v>151</v>
      </c>
      <c r="G300">
        <v>64</v>
      </c>
      <c r="H300">
        <v>28.07</v>
      </c>
      <c r="I300">
        <f>(0+0+1+1)/4</f>
        <v>0.5</v>
      </c>
      <c r="J300" t="s">
        <v>376</v>
      </c>
      <c r="K300" t="s">
        <v>457</v>
      </c>
      <c r="M300">
        <v>1</v>
      </c>
      <c r="N300">
        <v>149</v>
      </c>
      <c r="O300" t="s">
        <v>146</v>
      </c>
      <c r="P300" t="s">
        <v>276</v>
      </c>
      <c r="Q300">
        <v>65.180000000000007</v>
      </c>
      <c r="R300">
        <v>1</v>
      </c>
      <c r="S300">
        <v>151</v>
      </c>
      <c r="T300">
        <v>62</v>
      </c>
      <c r="U300">
        <v>27.19</v>
      </c>
      <c r="V300">
        <f>(3+3+0+0)/4</f>
        <v>1.5</v>
      </c>
      <c r="X300">
        <v>1</v>
      </c>
    </row>
    <row r="302" spans="1:24" x14ac:dyDescent="0.45">
      <c r="A302">
        <v>150</v>
      </c>
      <c r="B302" t="s">
        <v>147</v>
      </c>
      <c r="C302" t="s">
        <v>274</v>
      </c>
      <c r="D302">
        <v>82.35</v>
      </c>
      <c r="E302">
        <v>1</v>
      </c>
      <c r="F302">
        <v>168</v>
      </c>
      <c r="G302">
        <v>94</v>
      </c>
      <c r="H302">
        <v>33.299999999999997</v>
      </c>
      <c r="I302">
        <f>(4+4+6+3)/4</f>
        <v>4.25</v>
      </c>
      <c r="J302" t="s">
        <v>295</v>
      </c>
      <c r="K302" t="s">
        <v>388</v>
      </c>
      <c r="M302">
        <v>0</v>
      </c>
      <c r="N302">
        <v>150</v>
      </c>
      <c r="O302" t="s">
        <v>147</v>
      </c>
      <c r="P302" t="s">
        <v>274</v>
      </c>
      <c r="Q302">
        <v>83.46</v>
      </c>
      <c r="R302">
        <v>1</v>
      </c>
      <c r="S302">
        <v>168</v>
      </c>
      <c r="T302">
        <v>94</v>
      </c>
      <c r="U302">
        <v>33.299999999999997</v>
      </c>
      <c r="V302">
        <f>(0+0+0+0)/4</f>
        <v>0</v>
      </c>
      <c r="X302">
        <v>0</v>
      </c>
    </row>
    <row r="304" spans="1:24" x14ac:dyDescent="0.45">
      <c r="A304">
        <v>151</v>
      </c>
      <c r="B304" t="s">
        <v>148</v>
      </c>
      <c r="C304" t="s">
        <v>188</v>
      </c>
      <c r="D304">
        <v>74.540000000000006</v>
      </c>
      <c r="E304">
        <v>1</v>
      </c>
      <c r="F304">
        <v>161</v>
      </c>
      <c r="G304">
        <v>73</v>
      </c>
      <c r="H304">
        <v>28.16</v>
      </c>
      <c r="I304">
        <f>(7+7+5+5)/4</f>
        <v>6</v>
      </c>
      <c r="J304" t="s">
        <v>348</v>
      </c>
      <c r="K304" t="s">
        <v>388</v>
      </c>
      <c r="M304">
        <v>0</v>
      </c>
      <c r="N304">
        <v>151</v>
      </c>
      <c r="O304" t="s">
        <v>148</v>
      </c>
      <c r="P304" t="s">
        <v>188</v>
      </c>
      <c r="Q304">
        <v>75.569999999999993</v>
      </c>
      <c r="R304">
        <v>1</v>
      </c>
      <c r="S304">
        <v>161</v>
      </c>
      <c r="T304">
        <v>74</v>
      </c>
      <c r="U304">
        <v>28.55</v>
      </c>
      <c r="V304">
        <f>(5+5+5+5)/4</f>
        <v>5</v>
      </c>
      <c r="X304">
        <v>0</v>
      </c>
    </row>
    <row r="306" spans="1:24" x14ac:dyDescent="0.45">
      <c r="A306">
        <v>152</v>
      </c>
      <c r="B306" t="s">
        <v>149</v>
      </c>
      <c r="C306" t="s">
        <v>176</v>
      </c>
      <c r="D306">
        <v>60.29</v>
      </c>
      <c r="E306">
        <v>1</v>
      </c>
      <c r="F306">
        <v>162</v>
      </c>
      <c r="G306">
        <v>83</v>
      </c>
      <c r="H306">
        <v>31.63</v>
      </c>
      <c r="I306">
        <f>(9+9+8+8)/4</f>
        <v>8.5</v>
      </c>
      <c r="J306" t="s">
        <v>377</v>
      </c>
      <c r="K306" t="s">
        <v>388</v>
      </c>
      <c r="M306">
        <v>0</v>
      </c>
      <c r="N306">
        <v>152</v>
      </c>
      <c r="O306" t="s">
        <v>149</v>
      </c>
      <c r="P306" t="s">
        <v>176</v>
      </c>
      <c r="R306">
        <v>1</v>
      </c>
      <c r="X306">
        <v>0</v>
      </c>
    </row>
    <row r="308" spans="1:24" x14ac:dyDescent="0.45">
      <c r="A308">
        <v>153</v>
      </c>
      <c r="B308" t="s">
        <v>150</v>
      </c>
      <c r="C308" t="s">
        <v>277</v>
      </c>
      <c r="D308">
        <v>85.52</v>
      </c>
      <c r="E308">
        <v>1</v>
      </c>
      <c r="F308">
        <v>152</v>
      </c>
      <c r="G308">
        <v>56</v>
      </c>
      <c r="H308">
        <v>24.24</v>
      </c>
      <c r="I308">
        <f>(7+7+7+7)/4</f>
        <v>7</v>
      </c>
      <c r="J308" t="s">
        <v>313</v>
      </c>
      <c r="K308" t="s">
        <v>388</v>
      </c>
      <c r="M308">
        <v>1</v>
      </c>
      <c r="N308">
        <v>153</v>
      </c>
      <c r="O308" t="s">
        <v>150</v>
      </c>
      <c r="P308" t="s">
        <v>277</v>
      </c>
      <c r="Q308">
        <v>86.59</v>
      </c>
      <c r="R308">
        <v>1</v>
      </c>
      <c r="S308">
        <v>152</v>
      </c>
      <c r="T308">
        <v>55</v>
      </c>
      <c r="U308">
        <v>23.81</v>
      </c>
      <c r="V308">
        <f>(0+0+0+0)/4</f>
        <v>0</v>
      </c>
      <c r="X308">
        <v>1</v>
      </c>
    </row>
    <row r="310" spans="1:24" x14ac:dyDescent="0.45">
      <c r="A310">
        <v>154</v>
      </c>
      <c r="B310" t="s">
        <v>151</v>
      </c>
      <c r="C310" t="s">
        <v>195</v>
      </c>
      <c r="D310">
        <v>58.8</v>
      </c>
      <c r="E310">
        <v>1</v>
      </c>
      <c r="F310">
        <v>150</v>
      </c>
      <c r="G310">
        <v>65</v>
      </c>
      <c r="H310">
        <v>28.89</v>
      </c>
      <c r="I310">
        <f>(7+8+7+7)/4</f>
        <v>7.25</v>
      </c>
      <c r="J310" t="s">
        <v>295</v>
      </c>
      <c r="K310" t="s">
        <v>388</v>
      </c>
      <c r="M310">
        <v>0</v>
      </c>
      <c r="N310">
        <v>154</v>
      </c>
      <c r="O310" t="s">
        <v>151</v>
      </c>
      <c r="P310" t="s">
        <v>195</v>
      </c>
      <c r="Q310">
        <v>59.88</v>
      </c>
      <c r="R310">
        <v>1</v>
      </c>
      <c r="S310">
        <v>150</v>
      </c>
      <c r="T310">
        <v>65</v>
      </c>
      <c r="U310">
        <v>28.89</v>
      </c>
      <c r="V310">
        <f>(1+3+3+3)/4</f>
        <v>2.5</v>
      </c>
      <c r="X310">
        <v>0</v>
      </c>
    </row>
    <row r="312" spans="1:24" x14ac:dyDescent="0.45">
      <c r="A312">
        <v>155</v>
      </c>
      <c r="B312" t="s">
        <v>152</v>
      </c>
      <c r="C312" t="s">
        <v>212</v>
      </c>
      <c r="D312">
        <v>63.52</v>
      </c>
      <c r="E312">
        <v>0</v>
      </c>
      <c r="F312">
        <v>186</v>
      </c>
      <c r="G312">
        <v>95</v>
      </c>
      <c r="H312">
        <v>27.46</v>
      </c>
      <c r="I312">
        <f>(0+0+0+0)/4</f>
        <v>0</v>
      </c>
      <c r="J312" t="s">
        <v>378</v>
      </c>
      <c r="K312" t="s">
        <v>388</v>
      </c>
      <c r="M312">
        <v>1</v>
      </c>
      <c r="N312">
        <v>155</v>
      </c>
      <c r="O312" t="s">
        <v>152</v>
      </c>
      <c r="P312" t="s">
        <v>212</v>
      </c>
      <c r="Q312">
        <v>64.3</v>
      </c>
      <c r="R312">
        <v>0</v>
      </c>
      <c r="S312">
        <v>186</v>
      </c>
      <c r="T312">
        <v>90</v>
      </c>
      <c r="U312">
        <v>26.01</v>
      </c>
      <c r="V312">
        <f>(0+0+0+0)/4</f>
        <v>0</v>
      </c>
      <c r="X312">
        <v>1</v>
      </c>
    </row>
    <row r="314" spans="1:24" x14ac:dyDescent="0.45">
      <c r="A314">
        <v>156</v>
      </c>
      <c r="B314" t="s">
        <v>153</v>
      </c>
      <c r="C314" t="s">
        <v>278</v>
      </c>
      <c r="D314">
        <v>80.63</v>
      </c>
      <c r="E314">
        <v>0</v>
      </c>
      <c r="F314">
        <v>180</v>
      </c>
      <c r="G314">
        <v>98</v>
      </c>
      <c r="H314">
        <v>30.25</v>
      </c>
      <c r="I314">
        <f>(5+5+3+3)/4</f>
        <v>4</v>
      </c>
      <c r="J314" t="s">
        <v>316</v>
      </c>
      <c r="K314" t="s">
        <v>388</v>
      </c>
      <c r="M314">
        <v>0</v>
      </c>
      <c r="N314">
        <v>156</v>
      </c>
      <c r="O314" t="s">
        <v>153</v>
      </c>
      <c r="P314" t="s">
        <v>278</v>
      </c>
      <c r="Q314">
        <v>82.05</v>
      </c>
      <c r="R314">
        <v>0</v>
      </c>
      <c r="S314">
        <v>180</v>
      </c>
      <c r="T314">
        <v>98</v>
      </c>
      <c r="U314">
        <v>30.25</v>
      </c>
      <c r="V314">
        <f>(2+2+2+2)/4</f>
        <v>2</v>
      </c>
      <c r="X314">
        <v>0</v>
      </c>
    </row>
    <row r="316" spans="1:24" x14ac:dyDescent="0.45">
      <c r="A316">
        <v>157</v>
      </c>
      <c r="B316" t="s">
        <v>154</v>
      </c>
      <c r="C316" t="s">
        <v>279</v>
      </c>
      <c r="D316">
        <v>64.81</v>
      </c>
      <c r="E316">
        <v>0</v>
      </c>
      <c r="F316">
        <v>162</v>
      </c>
      <c r="G316">
        <v>115</v>
      </c>
      <c r="H316">
        <v>43.82</v>
      </c>
      <c r="I316">
        <f>(5+5+4+4)/4</f>
        <v>4.5</v>
      </c>
      <c r="J316" t="s">
        <v>379</v>
      </c>
      <c r="K316" t="s">
        <v>463</v>
      </c>
      <c r="M316">
        <v>1</v>
      </c>
      <c r="N316">
        <v>157</v>
      </c>
      <c r="O316" t="s">
        <v>154</v>
      </c>
      <c r="P316" t="s">
        <v>279</v>
      </c>
      <c r="R316">
        <v>0</v>
      </c>
      <c r="X316">
        <v>1</v>
      </c>
    </row>
    <row r="318" spans="1:24" x14ac:dyDescent="0.45">
      <c r="A318">
        <v>158</v>
      </c>
      <c r="B318" t="s">
        <v>155</v>
      </c>
      <c r="C318" t="s">
        <v>259</v>
      </c>
      <c r="D318">
        <v>65.16</v>
      </c>
      <c r="E318">
        <v>0</v>
      </c>
      <c r="F318">
        <v>164</v>
      </c>
      <c r="G318">
        <v>70</v>
      </c>
      <c r="H318">
        <v>26.03</v>
      </c>
      <c r="I318">
        <f>(7+6+6+7)/4</f>
        <v>6.5</v>
      </c>
      <c r="J318" t="s">
        <v>295</v>
      </c>
      <c r="K318" t="s">
        <v>388</v>
      </c>
      <c r="M318">
        <v>0</v>
      </c>
      <c r="N318">
        <v>158</v>
      </c>
      <c r="O318" t="s">
        <v>155</v>
      </c>
      <c r="P318" t="s">
        <v>259</v>
      </c>
      <c r="Q318">
        <v>66.23</v>
      </c>
      <c r="R318">
        <v>0</v>
      </c>
      <c r="S318">
        <v>164</v>
      </c>
      <c r="T318">
        <v>70</v>
      </c>
      <c r="U318">
        <v>26.03</v>
      </c>
      <c r="V318">
        <f>(0+0+0+0)/4</f>
        <v>0</v>
      </c>
      <c r="X318">
        <v>0</v>
      </c>
    </row>
    <row r="320" spans="1:24" x14ac:dyDescent="0.45">
      <c r="A320">
        <v>159</v>
      </c>
      <c r="B320" t="s">
        <v>156</v>
      </c>
      <c r="C320" t="s">
        <v>280</v>
      </c>
      <c r="D320">
        <v>79.290000000000006</v>
      </c>
      <c r="E320">
        <v>1</v>
      </c>
      <c r="F320">
        <v>172</v>
      </c>
      <c r="G320">
        <v>92</v>
      </c>
      <c r="H320">
        <v>31.1</v>
      </c>
      <c r="I320">
        <f>(8+8+8+5)/4</f>
        <v>7.25</v>
      </c>
      <c r="J320" t="s">
        <v>368</v>
      </c>
      <c r="K320" t="s">
        <v>388</v>
      </c>
      <c r="M320">
        <v>1</v>
      </c>
      <c r="N320">
        <v>159</v>
      </c>
      <c r="O320" t="s">
        <v>156</v>
      </c>
      <c r="P320" t="s">
        <v>280</v>
      </c>
      <c r="Q320">
        <v>80.34</v>
      </c>
      <c r="R320">
        <v>1</v>
      </c>
      <c r="S320">
        <v>172</v>
      </c>
      <c r="T320">
        <v>92</v>
      </c>
      <c r="U320">
        <v>31.1</v>
      </c>
      <c r="V320">
        <f>(5+6+0+0)/4</f>
        <v>2.75</v>
      </c>
      <c r="X320">
        <v>1</v>
      </c>
    </row>
    <row r="322" spans="1:24" x14ac:dyDescent="0.45">
      <c r="A322">
        <v>160</v>
      </c>
      <c r="B322" t="s">
        <v>157</v>
      </c>
      <c r="C322" t="s">
        <v>281</v>
      </c>
      <c r="D322">
        <v>75.790000000000006</v>
      </c>
      <c r="E322">
        <v>1</v>
      </c>
      <c r="F322">
        <v>165</v>
      </c>
      <c r="G322">
        <v>65</v>
      </c>
      <c r="H322">
        <v>23.88</v>
      </c>
      <c r="I322">
        <f>(8+8+6+7)/4</f>
        <v>7.25</v>
      </c>
      <c r="J322" t="s">
        <v>380</v>
      </c>
      <c r="K322" t="s">
        <v>388</v>
      </c>
      <c r="M322">
        <v>0</v>
      </c>
      <c r="N322">
        <v>160</v>
      </c>
      <c r="O322" t="s">
        <v>157</v>
      </c>
      <c r="P322" t="s">
        <v>281</v>
      </c>
      <c r="R322">
        <v>1</v>
      </c>
      <c r="X322">
        <v>0</v>
      </c>
    </row>
    <row r="324" spans="1:24" x14ac:dyDescent="0.45">
      <c r="A324">
        <v>161</v>
      </c>
      <c r="N324">
        <v>161</v>
      </c>
    </row>
    <row r="326" spans="1:24" x14ac:dyDescent="0.45">
      <c r="A326">
        <v>162</v>
      </c>
      <c r="N326">
        <v>162</v>
      </c>
    </row>
    <row r="328" spans="1:24" x14ac:dyDescent="0.45">
      <c r="A328">
        <v>163</v>
      </c>
      <c r="N328">
        <v>163</v>
      </c>
    </row>
    <row r="330" spans="1:24" x14ac:dyDescent="0.45">
      <c r="A330">
        <v>164</v>
      </c>
      <c r="N330">
        <v>164</v>
      </c>
    </row>
    <row r="332" spans="1:24" x14ac:dyDescent="0.45">
      <c r="A332">
        <v>165</v>
      </c>
      <c r="B332" t="s">
        <v>158</v>
      </c>
      <c r="C332" t="s">
        <v>241</v>
      </c>
      <c r="D332">
        <v>56.87</v>
      </c>
      <c r="E332">
        <v>1</v>
      </c>
      <c r="F332">
        <v>159</v>
      </c>
      <c r="G332">
        <v>65</v>
      </c>
      <c r="H332">
        <v>25.71</v>
      </c>
      <c r="I332">
        <f>(8+8+8+8)/4</f>
        <v>8</v>
      </c>
      <c r="J332" t="s">
        <v>381</v>
      </c>
      <c r="K332" t="s">
        <v>450</v>
      </c>
      <c r="M332">
        <v>1</v>
      </c>
      <c r="N332">
        <v>165</v>
      </c>
      <c r="O332" t="s">
        <v>158</v>
      </c>
      <c r="P332" t="s">
        <v>241</v>
      </c>
      <c r="R332">
        <v>1</v>
      </c>
      <c r="X332">
        <v>1</v>
      </c>
    </row>
    <row r="334" spans="1:24" x14ac:dyDescent="0.45">
      <c r="A334">
        <v>166</v>
      </c>
      <c r="N334">
        <v>166</v>
      </c>
    </row>
    <row r="336" spans="1:24" x14ac:dyDescent="0.45">
      <c r="A336">
        <v>167</v>
      </c>
      <c r="N336">
        <v>167</v>
      </c>
    </row>
    <row r="338" spans="1:24" x14ac:dyDescent="0.45">
      <c r="A338">
        <v>168</v>
      </c>
      <c r="N338">
        <v>168</v>
      </c>
    </row>
    <row r="340" spans="1:24" x14ac:dyDescent="0.45">
      <c r="A340">
        <v>169</v>
      </c>
      <c r="N340">
        <v>169</v>
      </c>
    </row>
    <row r="342" spans="1:24" x14ac:dyDescent="0.45">
      <c r="A342">
        <v>170</v>
      </c>
      <c r="N342">
        <v>170</v>
      </c>
    </row>
    <row r="344" spans="1:24" x14ac:dyDescent="0.45">
      <c r="A344">
        <v>171</v>
      </c>
      <c r="B344" t="s">
        <v>159</v>
      </c>
      <c r="C344" t="s">
        <v>282</v>
      </c>
      <c r="D344">
        <v>81.92</v>
      </c>
      <c r="E344">
        <v>1</v>
      </c>
      <c r="F344">
        <v>163</v>
      </c>
      <c r="G344">
        <v>118</v>
      </c>
      <c r="H344">
        <v>44.41</v>
      </c>
      <c r="I344">
        <f>(9+9+9+9)/4</f>
        <v>9</v>
      </c>
      <c r="J344" t="s">
        <v>382</v>
      </c>
      <c r="K344" t="s">
        <v>388</v>
      </c>
      <c r="M344">
        <v>1</v>
      </c>
      <c r="N344">
        <v>171</v>
      </c>
      <c r="O344" t="s">
        <v>159</v>
      </c>
      <c r="P344" t="s">
        <v>282</v>
      </c>
      <c r="Q344">
        <v>83</v>
      </c>
      <c r="R344">
        <v>1</v>
      </c>
      <c r="S344">
        <v>163</v>
      </c>
      <c r="T344">
        <v>110</v>
      </c>
      <c r="U344">
        <v>41.4</v>
      </c>
      <c r="V344">
        <f>(0+2+0+0)/4</f>
        <v>0.5</v>
      </c>
      <c r="X344">
        <v>1</v>
      </c>
    </row>
    <row r="346" spans="1:24" x14ac:dyDescent="0.45">
      <c r="A346">
        <v>172</v>
      </c>
      <c r="B346" t="s">
        <v>160</v>
      </c>
      <c r="C346" t="s">
        <v>191</v>
      </c>
      <c r="D346">
        <v>79.290000000000006</v>
      </c>
      <c r="E346">
        <v>1</v>
      </c>
      <c r="F346">
        <v>154</v>
      </c>
      <c r="G346">
        <v>52</v>
      </c>
      <c r="H346">
        <v>21.93</v>
      </c>
      <c r="I346">
        <f>(3+3+0+0)/4</f>
        <v>1.5</v>
      </c>
      <c r="J346" t="s">
        <v>383</v>
      </c>
      <c r="K346" t="s">
        <v>388</v>
      </c>
      <c r="M346">
        <v>0</v>
      </c>
      <c r="N346">
        <v>172</v>
      </c>
      <c r="O346" t="s">
        <v>160</v>
      </c>
      <c r="P346" t="s">
        <v>191</v>
      </c>
      <c r="Q346">
        <v>80.36</v>
      </c>
      <c r="R346">
        <v>1</v>
      </c>
      <c r="S346">
        <v>154</v>
      </c>
      <c r="T346">
        <v>52</v>
      </c>
      <c r="U346">
        <v>21.93</v>
      </c>
      <c r="V346">
        <f>(0+0+0+0)/4</f>
        <v>0</v>
      </c>
      <c r="X346">
        <v>0</v>
      </c>
    </row>
    <row r="348" spans="1:24" x14ac:dyDescent="0.45">
      <c r="A348">
        <v>173</v>
      </c>
      <c r="B348" t="s">
        <v>161</v>
      </c>
      <c r="C348" t="s">
        <v>172</v>
      </c>
      <c r="D348">
        <v>72.45</v>
      </c>
      <c r="E348">
        <v>1</v>
      </c>
      <c r="F348">
        <v>149</v>
      </c>
      <c r="G348">
        <v>78</v>
      </c>
      <c r="H348">
        <v>35.130000000000003</v>
      </c>
      <c r="I348">
        <f>(6+6+6+3)/4</f>
        <v>5.25</v>
      </c>
      <c r="J348" t="s">
        <v>324</v>
      </c>
      <c r="K348" t="s">
        <v>388</v>
      </c>
      <c r="M348">
        <v>1</v>
      </c>
      <c r="N348">
        <v>173</v>
      </c>
      <c r="O348" t="s">
        <v>161</v>
      </c>
      <c r="P348" t="s">
        <v>172</v>
      </c>
      <c r="Q348">
        <v>73.569999999999993</v>
      </c>
      <c r="R348">
        <v>1</v>
      </c>
      <c r="S348">
        <v>149</v>
      </c>
      <c r="T348">
        <v>79</v>
      </c>
      <c r="U348">
        <v>35.58</v>
      </c>
      <c r="V348">
        <f>(0+0+0+3)/4</f>
        <v>0.75</v>
      </c>
      <c r="X348">
        <v>1</v>
      </c>
    </row>
    <row r="350" spans="1:24" x14ac:dyDescent="0.45">
      <c r="A350">
        <v>174</v>
      </c>
      <c r="B350" t="s">
        <v>162</v>
      </c>
      <c r="C350" t="s">
        <v>176</v>
      </c>
      <c r="D350">
        <v>61.33</v>
      </c>
      <c r="E350">
        <v>1</v>
      </c>
      <c r="F350">
        <v>161</v>
      </c>
      <c r="G350">
        <v>82</v>
      </c>
      <c r="H350">
        <v>31.63</v>
      </c>
      <c r="I350">
        <f>(7+7+7+7)/4</f>
        <v>7</v>
      </c>
      <c r="J350" t="s">
        <v>384</v>
      </c>
      <c r="K350" t="s">
        <v>388</v>
      </c>
      <c r="M350">
        <v>1</v>
      </c>
      <c r="N350">
        <v>174</v>
      </c>
      <c r="O350" t="s">
        <v>162</v>
      </c>
      <c r="P350" t="s">
        <v>176</v>
      </c>
      <c r="Q350">
        <v>62.44</v>
      </c>
      <c r="R350">
        <v>1</v>
      </c>
      <c r="S350">
        <v>161</v>
      </c>
      <c r="T350">
        <v>75</v>
      </c>
      <c r="U350">
        <v>28.93</v>
      </c>
      <c r="V350">
        <f>(0+0+0+0)/4</f>
        <v>0</v>
      </c>
      <c r="X350">
        <v>1</v>
      </c>
    </row>
    <row r="352" spans="1:24" x14ac:dyDescent="0.45">
      <c r="A352">
        <v>175</v>
      </c>
      <c r="B352" t="s">
        <v>163</v>
      </c>
      <c r="C352" t="s">
        <v>283</v>
      </c>
      <c r="D352">
        <v>68.41</v>
      </c>
      <c r="E352">
        <v>1</v>
      </c>
      <c r="F352">
        <v>165</v>
      </c>
      <c r="G352">
        <v>80</v>
      </c>
      <c r="H352">
        <v>29.38</v>
      </c>
      <c r="I352">
        <f>(3+4+5+7)/4</f>
        <v>4.75</v>
      </c>
      <c r="J352" t="s">
        <v>371</v>
      </c>
      <c r="K352" t="s">
        <v>388</v>
      </c>
      <c r="M352">
        <v>1</v>
      </c>
      <c r="N352">
        <v>175</v>
      </c>
      <c r="O352" t="s">
        <v>163</v>
      </c>
      <c r="P352" t="s">
        <v>283</v>
      </c>
      <c r="Q352">
        <v>69.44</v>
      </c>
      <c r="R352">
        <v>1</v>
      </c>
      <c r="S352">
        <v>165</v>
      </c>
      <c r="T352">
        <v>68</v>
      </c>
      <c r="U352">
        <v>24.98</v>
      </c>
      <c r="V352">
        <f>(0+0+0+0)/4</f>
        <v>0</v>
      </c>
      <c r="X352">
        <v>1</v>
      </c>
    </row>
    <row r="354" spans="1:24" x14ac:dyDescent="0.45">
      <c r="A354">
        <v>176</v>
      </c>
      <c r="B354" t="s">
        <v>164</v>
      </c>
      <c r="C354" t="s">
        <v>213</v>
      </c>
      <c r="D354">
        <v>86.94</v>
      </c>
      <c r="E354">
        <v>1</v>
      </c>
      <c r="F354">
        <v>160</v>
      </c>
      <c r="G354">
        <v>72</v>
      </c>
      <c r="H354">
        <v>28.12</v>
      </c>
      <c r="I354">
        <f>(8+8+8+8)/4</f>
        <v>8</v>
      </c>
      <c r="J354" t="s">
        <v>295</v>
      </c>
      <c r="K354" t="s">
        <v>464</v>
      </c>
      <c r="M354">
        <v>1</v>
      </c>
      <c r="N354">
        <v>176</v>
      </c>
      <c r="O354" t="s">
        <v>164</v>
      </c>
      <c r="P354" t="s">
        <v>213</v>
      </c>
      <c r="Q354">
        <v>87.97</v>
      </c>
      <c r="R354">
        <v>1</v>
      </c>
      <c r="S354">
        <v>160</v>
      </c>
      <c r="T354">
        <v>72</v>
      </c>
      <c r="U354">
        <v>28.12</v>
      </c>
      <c r="V354">
        <f>(0+0+0+0)/4</f>
        <v>0</v>
      </c>
      <c r="X354">
        <v>1</v>
      </c>
    </row>
    <row r="356" spans="1:24" x14ac:dyDescent="0.45">
      <c r="A356">
        <v>177</v>
      </c>
      <c r="B356" t="s">
        <v>165</v>
      </c>
      <c r="C356" t="s">
        <v>265</v>
      </c>
      <c r="D356">
        <v>76.86</v>
      </c>
      <c r="E356">
        <v>1</v>
      </c>
      <c r="F356">
        <v>157</v>
      </c>
      <c r="G356">
        <v>54</v>
      </c>
      <c r="H356">
        <v>21.91</v>
      </c>
      <c r="I356">
        <f>(7+8+8+8)/4</f>
        <v>7.75</v>
      </c>
      <c r="J356" t="s">
        <v>357</v>
      </c>
      <c r="K356" t="s">
        <v>388</v>
      </c>
      <c r="M356">
        <v>0</v>
      </c>
      <c r="N356">
        <v>177</v>
      </c>
      <c r="O356" t="s">
        <v>165</v>
      </c>
      <c r="P356" t="s">
        <v>265</v>
      </c>
      <c r="Q356">
        <v>77.89</v>
      </c>
      <c r="R356">
        <v>1</v>
      </c>
      <c r="S356">
        <v>157</v>
      </c>
      <c r="T356">
        <v>54</v>
      </c>
      <c r="U356">
        <v>21.91</v>
      </c>
      <c r="V356">
        <f>(0+0+0+0)/4</f>
        <v>0</v>
      </c>
      <c r="X356">
        <v>0</v>
      </c>
    </row>
    <row r="358" spans="1:24" x14ac:dyDescent="0.45">
      <c r="A358">
        <v>178</v>
      </c>
      <c r="B358" t="s">
        <v>166</v>
      </c>
      <c r="C358" t="s">
        <v>213</v>
      </c>
      <c r="D358">
        <v>62.33</v>
      </c>
      <c r="E358">
        <v>0</v>
      </c>
      <c r="F358">
        <v>161</v>
      </c>
      <c r="G358">
        <v>63</v>
      </c>
      <c r="H358">
        <v>24.3</v>
      </c>
      <c r="I358">
        <f>(7+5+1+1)/4</f>
        <v>3.5</v>
      </c>
      <c r="J358" t="s">
        <v>385</v>
      </c>
      <c r="K358" t="s">
        <v>465</v>
      </c>
      <c r="M358">
        <v>0</v>
      </c>
      <c r="N358">
        <v>178</v>
      </c>
      <c r="O358" t="s">
        <v>166</v>
      </c>
      <c r="P358" t="s">
        <v>213</v>
      </c>
      <c r="Q358">
        <v>63.4</v>
      </c>
      <c r="R358">
        <v>0</v>
      </c>
      <c r="S358">
        <v>161</v>
      </c>
      <c r="T358">
        <v>63</v>
      </c>
      <c r="U358">
        <v>24.3</v>
      </c>
      <c r="V358">
        <f>(0+0+0+0)/4</f>
        <v>0</v>
      </c>
      <c r="X358">
        <v>0</v>
      </c>
    </row>
    <row r="360" spans="1:24" x14ac:dyDescent="0.45">
      <c r="A360">
        <v>179</v>
      </c>
      <c r="B360" t="s">
        <v>167</v>
      </c>
      <c r="C360" t="s">
        <v>223</v>
      </c>
      <c r="D360">
        <v>69.86</v>
      </c>
      <c r="E360">
        <v>1</v>
      </c>
      <c r="F360">
        <v>163</v>
      </c>
      <c r="G360">
        <v>95</v>
      </c>
      <c r="H360">
        <v>35.76</v>
      </c>
      <c r="I360">
        <f>(9+9+7+7)/4</f>
        <v>8</v>
      </c>
      <c r="J360" t="s">
        <v>348</v>
      </c>
      <c r="K360" t="s">
        <v>388</v>
      </c>
      <c r="M360">
        <v>0</v>
      </c>
      <c r="N360">
        <v>179</v>
      </c>
      <c r="O360" t="s">
        <v>167</v>
      </c>
      <c r="P360" t="s">
        <v>223</v>
      </c>
      <c r="Q360">
        <v>70.89</v>
      </c>
      <c r="R360">
        <v>1</v>
      </c>
      <c r="S360">
        <v>163</v>
      </c>
      <c r="T360">
        <v>95</v>
      </c>
      <c r="U360">
        <v>35.76</v>
      </c>
      <c r="V360">
        <f>(4+5+0+0)/4</f>
        <v>2.25</v>
      </c>
      <c r="X360">
        <v>0</v>
      </c>
    </row>
    <row r="362" spans="1:24" x14ac:dyDescent="0.45">
      <c r="A362">
        <v>180</v>
      </c>
      <c r="B362" t="s">
        <v>168</v>
      </c>
      <c r="C362" t="s">
        <v>284</v>
      </c>
      <c r="D362">
        <v>59.08</v>
      </c>
      <c r="E362">
        <v>1</v>
      </c>
      <c r="F362">
        <v>150</v>
      </c>
      <c r="G362">
        <v>50</v>
      </c>
      <c r="H362">
        <v>22.22</v>
      </c>
      <c r="I362">
        <f>(8+8+8+8)/4</f>
        <v>8</v>
      </c>
      <c r="J362" t="s">
        <v>386</v>
      </c>
      <c r="K362" t="s">
        <v>388</v>
      </c>
      <c r="M362">
        <v>1</v>
      </c>
      <c r="N362">
        <v>180</v>
      </c>
      <c r="O362" t="s">
        <v>168</v>
      </c>
      <c r="P362" t="s">
        <v>284</v>
      </c>
      <c r="Q362">
        <v>60.14</v>
      </c>
      <c r="R362">
        <v>1</v>
      </c>
      <c r="S362">
        <v>150</v>
      </c>
      <c r="T362">
        <v>52</v>
      </c>
      <c r="U362">
        <v>23.11</v>
      </c>
      <c r="V362">
        <f>(6+5+5+5)/4</f>
        <v>5.25</v>
      </c>
      <c r="X362">
        <v>1</v>
      </c>
    </row>
    <row r="364" spans="1:24" x14ac:dyDescent="0.45">
      <c r="A364">
        <v>181</v>
      </c>
      <c r="B364" t="s">
        <v>169</v>
      </c>
      <c r="C364" t="s">
        <v>285</v>
      </c>
      <c r="D364">
        <v>78.819999999999993</v>
      </c>
      <c r="E364">
        <v>1</v>
      </c>
      <c r="F364">
        <v>163</v>
      </c>
      <c r="G364">
        <v>57</v>
      </c>
      <c r="H364">
        <v>21.45</v>
      </c>
      <c r="I364">
        <f>(4+4+4+4)/4</f>
        <v>4</v>
      </c>
      <c r="J364" t="s">
        <v>297</v>
      </c>
      <c r="K364" t="s">
        <v>388</v>
      </c>
      <c r="M364">
        <v>0</v>
      </c>
      <c r="N364">
        <v>181</v>
      </c>
      <c r="O364" t="s">
        <v>169</v>
      </c>
      <c r="P364" t="s">
        <v>285</v>
      </c>
      <c r="Q364">
        <v>79.84</v>
      </c>
      <c r="R364">
        <v>1</v>
      </c>
      <c r="S364">
        <v>163</v>
      </c>
      <c r="T364">
        <v>57</v>
      </c>
      <c r="U364">
        <v>21.45</v>
      </c>
      <c r="V364">
        <f>(0+0+0+0)/4</f>
        <v>0</v>
      </c>
      <c r="X364">
        <v>0</v>
      </c>
    </row>
    <row r="366" spans="1:24" x14ac:dyDescent="0.45">
      <c r="A366">
        <v>182</v>
      </c>
      <c r="B366" t="s">
        <v>170</v>
      </c>
      <c r="C366" t="s">
        <v>196</v>
      </c>
      <c r="D366">
        <v>52.73</v>
      </c>
      <c r="E366">
        <v>0</v>
      </c>
      <c r="F366">
        <v>178</v>
      </c>
      <c r="G366">
        <v>108</v>
      </c>
      <c r="H366">
        <v>34.090000000000003</v>
      </c>
      <c r="I366">
        <f>(8+8+6+7)/4</f>
        <v>7.25</v>
      </c>
      <c r="J366" t="s">
        <v>375</v>
      </c>
      <c r="K366" t="s">
        <v>466</v>
      </c>
      <c r="M366">
        <v>0</v>
      </c>
      <c r="N366">
        <v>182</v>
      </c>
      <c r="O366" t="s">
        <v>170</v>
      </c>
      <c r="P366" t="s">
        <v>196</v>
      </c>
      <c r="Q366">
        <v>53.81</v>
      </c>
      <c r="R366">
        <v>0</v>
      </c>
      <c r="S366">
        <v>178</v>
      </c>
      <c r="T366">
        <v>100</v>
      </c>
      <c r="U366">
        <v>31.56</v>
      </c>
      <c r="V366">
        <f>(8+8+8+8)/4</f>
        <v>8</v>
      </c>
      <c r="X366">
        <v>0</v>
      </c>
    </row>
  </sheetData>
  <mergeCells count="1">
    <mergeCell ref="A1:X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PatientInfos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Hugo Francalanci</cp:lastModifiedBy>
  <dcterms:modified xsi:type="dcterms:W3CDTF">2026-08-20T13:28:12Z</dcterms:modified>
</cp:coreProperties>
</file>